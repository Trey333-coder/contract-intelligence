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c0fb8ce12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SYSTEM" sheetId="1" r:id="R888052b014ab4237"/>
    <x:sheet xmlns:r="http://schemas.openxmlformats.org/officeDocument/2006/relationships" name="STATS" sheetId="2" r:id="R94a27fd1c4724266"/>
    <x:sheet xmlns:r="http://schemas.openxmlformats.org/officeDocument/2006/relationships" name="README" sheetId="3" r:id="Rfbe57c4b3dd84a01"/>
    <x:sheet xmlns:r="http://schemas.openxmlformats.org/officeDocument/2006/relationships" name="EXPLORE" sheetId="4" r:id="R1d065a95e59f40e4"/>
    <x:sheet xmlns:r="http://schemas.openxmlformats.org/officeDocument/2006/relationships" name="LIVE_PULL" sheetId="5" r:id="R0bb1f622009c4e39"/>
    <x:sheet xmlns:r="http://schemas.openxmlformats.org/officeDocument/2006/relationships" name="LIVE_PULL_SETUP" sheetId="6" r:id="Rae258ec5bf2b46e6"/>
  </x:sheets>
</x:workbook>
</file>

<file path=xl/sharedStrings.xml><?xml version="1.0" encoding="utf-8"?>
<x:sst xmlns:x="http://schemas.openxmlformats.org/spreadsheetml/2006/main">
  <x:si>
    <x:t xml:space="preserve">Token Name</x:t>
  </x:si>
  <x:si>
    <x:t xml:space="preserve">Token Symbol</x:t>
  </x:si>
  <x:si>
    <x:t xml:space="preserve">Contract Address</x:t>
  </x:si>
  <x:si>
    <x:t xml:space="preserve">Deployer</x:t>
  </x:si>
  <x:si>
    <x:t xml:space="preserve">Block</x:t>
  </x:si>
  <x:si>
    <x:t xml:space="preserve">Deployed On</x:t>
  </x:si>
  <x:si>
    <x:t xml:space="preserve">Initial Supply</x:t>
  </x:si>
  <x:si>
    <x:t xml:space="preserve">Current Supply</x:t>
  </x:si>
  <x:si>
    <x:t xml:space="preserve">Circulating Supply</x:t>
  </x:si>
  <x:si>
    <x:t xml:space="preserve">Minted Supply</x:t>
  </x:si>
  <x:si>
    <x:t xml:space="preserve">Burned Supply</x:t>
  </x:si>
  <x:si>
    <x:t xml:space="preserve">Last Mint</x:t>
  </x:si>
  <x:si>
    <x:t xml:space="preserve">Last Burn</x:t>
  </x:si>
  <x:si>
    <x:t xml:space="preserve">Days Since Mint</x:t>
  </x:si>
  <x:si>
    <x:t xml:space="preserve">Days Since Burn</x:t>
  </x:si>
  <x:si>
    <x:t xml:space="preserve">Price USD</x:t>
  </x:si>
  <x:si>
    <x:t xml:space="preserve">Price PLS</x:t>
  </x:si>
  <x:si>
    <x:t xml:space="preserve">Market Cap</x:t>
  </x:si>
  <x:si>
    <x:t xml:space="preserve">FDV</x:t>
  </x:si>
  <x:si>
    <x:t xml:space="preserve">Volume</x:t>
  </x:si>
  <x:si>
    <x:t xml:space="preserve">Liquidity</x:t>
  </x:si>
  <x:si>
    <x:t xml:space="preserve">Price Change 5m</x:t>
  </x:si>
  <x:si>
    <x:t xml:space="preserve">Price Change 1h</x:t>
  </x:si>
  <x:si>
    <x:t xml:space="preserve">Price Change 6h</x:t>
  </x:si>
  <x:si>
    <x:t xml:space="preserve">Price Change 1D</x:t>
  </x:si>
  <x:si>
    <x:t xml:space="preserve">Last Updated (UTC)</x:t>
  </x:si>
  <x:si>
    <x:t xml:space="preserve">Atropa</x:t>
  </x:si>
  <x:si>
    <x:t xml:space="preserve">ATROPA</x:t>
  </x:si>
  <x:si>
    <x:t xml:space="preserve">-</x:t>
  </x:si>
  <x:si>
    <x:t xml:space="preserve">2025-02-27 14:46:19</x:t>
  </x:si>
  <x:si>
    <x:t xml:space="preserve">dOWN</x:t>
  </x:si>
  <x:si>
    <x:t xml:space="preserve">2025-02-27 14:49:25</x:t>
  </x:si>
  <x:si>
    <x:t xml:space="preserve">TSFi</x:t>
  </x:si>
  <x:si>
    <x:t xml:space="preserve">2025-02-27 14:47:03</x:t>
  </x:si>
  <x:si>
    <x:t xml:space="preserve">笫第作笈</x:t>
  </x:si>
  <x:si>
    <x:t xml:space="preserve">第作</x:t>
  </x:si>
  <x:si>
    <x:t xml:space="preserve">2025-02-27 14:49:24</x:t>
  </x:si>
  <x:si>
    <x:t xml:space="preserve">籯</x:t>
  </x:si>
  <x:si>
    <x:t xml:space="preserve">2E-18</x:t>
  </x:si>
  <x:si>
    <x:t xml:space="preserve">2025-02-27 14:44:51</x:t>
  </x:si>
  <x:si>
    <x:t xml:space="preserve">유</x:t>
  </x:si>
  <x:si>
    <x:t xml:space="preserve">4.3054271503E-8</x:t>
  </x:si>
  <x:si>
    <x:t xml:space="preserve">2025-02-27 14:45:54</x:t>
  </x:si>
  <x:si>
    <x:t xml:space="preserve">ލޮލް</x:t>
  </x:si>
  <x:si>
    <x:t xml:space="preserve">ލ</x:t>
  </x:si>
  <x:si>
    <x:t xml:space="preserve">LEGAL</x:t>
  </x:si>
  <x:si>
    <x:t xml:space="preserve">㉾</x:t>
  </x:si>
  <x:si>
    <x:t xml:space="preserve">scissors ㉾</x:t>
  </x:si>
  <x:si>
    <x:t xml:space="preserve">2025-02-27 14:48:59</x:t>
  </x:si>
  <x:si>
    <x:t xml:space="preserve">POPPY</x:t>
  </x:si>
  <x:si>
    <x:t xml:space="preserve">POPPY ㉾</x:t>
  </x:si>
  <x:si>
    <x:t xml:space="preserve">缤</x:t>
  </x:si>
  <x:si>
    <x:t xml:space="preserve">缤 ㉾</x:t>
  </x:si>
  <x:si>
    <x:t xml:space="preserve">2025-02-27 14:45:55</x:t>
  </x:si>
  <x:si>
    <x:t xml:space="preserve">BEAR</x:t>
  </x:si>
  <x:si>
    <x:t xml:space="preserve">TEDDY BEAR ㉾</x:t>
  </x:si>
  <x:si>
    <x:t xml:space="preserve">TREASURY BILL</x:t>
  </x:si>
  <x:si>
    <x:t xml:space="preserve">TREASURY BILL ㉾</x:t>
  </x:si>
  <x:si>
    <x:t xml:space="preserve">㈝</x:t>
  </x:si>
  <x:si>
    <x:t xml:space="preserve">ʁ</x:t>
  </x:si>
  <x:si>
    <x:t xml:space="preserve">ʁ ㉭</x:t>
  </x:si>
  <x:si>
    <x:t xml:space="preserve">1.1144449979E-8</x:t>
  </x:si>
  <x:si>
    <x:t xml:space="preserve">㉣</x:t>
  </x:si>
  <x:si>
    <x:t xml:space="preserve">มิติ</x:t>
  </x:si>
  <x:si>
    <x:t xml:space="preserve">ไมิติซส์</x:t>
  </x:si>
  <x:si>
    <x:t xml:space="preserve">2025-02-27 14:49:26</x:t>
  </x:si>
  <x:si>
    <x:t xml:space="preserve">Bullion</x:t>
  </x:si>
  <x:si>
    <x:t xml:space="preserve">BULLION ⑤</x:t>
  </x:si>
  <x:si>
    <x:t xml:space="preserve">পঁদাে়নুিং</x:t>
  </x:si>
  <x:si>
    <x:t xml:space="preserve">ᨓᨆ</x:t>
  </x:si>
  <x:si>
    <x:t xml:space="preserve">⑧</x:t>
  </x:si>
  <x:si>
    <x:t xml:space="preserve">BULLION ⑧</x:t>
  </x:si>
  <x:si>
    <x:t xml:space="preserve">9.99E-12</x:t>
  </x:si>
  <x:si>
    <x:t xml:space="preserve">5.7E-15</x:t>
  </x:si>
  <x:si>
    <x:t xml:space="preserve">⑨</x:t>
  </x:si>
  <x:si>
    <x:t xml:space="preserve">テディベア</x:t>
  </x:si>
  <x:si>
    <x:t xml:space="preserve">2025-02-27 14:45:56</x:t>
  </x:si>
  <x:si>
    <x:t xml:space="preserve">⑦</x:t>
  </x:si>
  <x:si>
    <x:t xml:space="preserve">First Pulse Mutual Bond</x:t>
  </x:si>
  <x:si>
    <x:t xml:space="preserve">ހް</x:t>
  </x:si>
  <x:si>
    <x:t xml:space="preserve">ޖޮޔިސްދޭވޯހީ</x:t>
  </x:si>
  <x:si>
    <x:t xml:space="preserve">1.62783023235E-7</x:t>
  </x:si>
  <x:si>
    <x:t xml:space="preserve">𐌎</x:t>
  </x:si>
  <x:si>
    <x:t xml:space="preserve">𐌎𐌠𐌐𐌀</x:t>
  </x:si>
  <x:si>
    <x:t xml:space="preserve">اللا</x:t>
  </x:si>
  <x:si>
    <x:t xml:space="preserve">الامارات</x:t>
  </x:si>
  <x:si>
    <x:t xml:space="preserve">2025-02-27 14:45:57</x:t>
  </x:si>
  <x:si>
    <x:t xml:space="preserve">ࠐࠀ</x:t>
  </x:si>
  <x:si>
    <x:t xml:space="preserve">࠘ࠓࠩࠐࠬࠀࠫࠋࠠ</x:t>
  </x:si>
  <x:si>
    <x:t xml:space="preserve">ꡰ</x:t>
  </x:si>
  <x:si>
    <x:t xml:space="preserve">꡵ꡘꡋꡭꡰꡆꡳ꡴ꡫ</x:t>
  </x:si>
  <x:si>
    <x:t xml:space="preserve">ⱑ</x:t>
  </x:si>
  <x:si>
    <x:t xml:space="preserve">ⱏⱟⰿⰺⰹⱓⱒ</x:t>
  </x:si>
  <x:si>
    <x:t xml:space="preserve">清导</x:t>
  </x:si>
  <x:si>
    <x:t xml:space="preserve">5E-18</x:t>
  </x:si>
  <x:si>
    <x:t xml:space="preserve">问题</x:t>
  </x:si>
  <x:si>
    <x:t xml:space="preserve">2025-02-27 14:45:58</x:t>
  </x:si>
  <x:si>
    <x:t xml:space="preserve">Tristar and Red Sector Incorporated</x:t>
  </x:si>
  <x:si>
    <x:t xml:space="preserve">TRSI</x:t>
  </x:si>
  <x:si>
    <x:t xml:space="preserve">Annabelle: The Profit ㉶</x:t>
  </x:si>
  <x:si>
    <x:t xml:space="preserve">BEL ㉶</x:t>
  </x:si>
  <x:si>
    <x:t xml:space="preserve">3.663E-14</x:t>
  </x:si>
  <x:si>
    <x:t xml:space="preserve">RTV KLAN</x:t>
  </x:si>
  <x:si>
    <x:t xml:space="preserve">KLAN</x:t>
  </x:si>
  <x:si>
    <x:t xml:space="preserve">1.04E-16</x:t>
  </x:si>
  <x:si>
    <x:t xml:space="preserve">2025-02-27 14:48:32</x:t>
  </x:si>
  <x:si>
    <x:t xml:space="preserve">上海广播电视台</x:t>
  </x:si>
  <x:si>
    <x:t xml:space="preserve">SMG ㉣</x:t>
  </x:si>
  <x:si>
    <x:t xml:space="preserve">iCE ㉾</x:t>
  </x:si>
  <x:si>
    <x:t xml:space="preserve">iCE Advertisements ㉾</x:t>
  </x:si>
  <x:si>
    <x:t xml:space="preserve">2025-02-27 14:45:59</x:t>
  </x:si>
  <x:si>
    <x:t xml:space="preserve">PWA ㉾</x:t>
  </x:si>
  <x:si>
    <x:t xml:space="preserve">Pirates With Attitude ㉾</x:t>
  </x:si>
  <x:si>
    <x:t xml:space="preserve">LIT ㉾</x:t>
  </x:si>
  <x:si>
    <x:t xml:space="preserve">ScrollZ ㉾</x:t>
  </x:si>
  <x:si>
    <x:t xml:space="preserve">RazoR 1911 ㉾</x:t>
  </x:si>
  <x:si>
    <x:t xml:space="preserve">RZR ㉾</x:t>
  </x:si>
  <x:si>
    <x:t xml:space="preserve">FairLight ㉾</x:t>
  </x:si>
  <x:si>
    <x:t xml:space="preserve">FLT ㉾</x:t>
  </x:si>
  <x:si>
    <x:t xml:space="preserve">2025-02-27 07:35:18</x:t>
  </x:si>
  <x:si>
    <x:t xml:space="preserve">Gokuldham Society 卍</x:t>
  </x:si>
  <x:si>
    <x:t xml:space="preserve">卍</x:t>
  </x:si>
  <x:si>
    <x:t xml:space="preserve">2025-02-27 14:46:00</x:t>
  </x:si>
  <x:si>
    <x:t xml:space="preserve">ﾺ㉾</x:t>
  </x:si>
  <x:si>
    <x:t xml:space="preserve">KPOP</x:t>
  </x:si>
  <x:si>
    <x:t xml:space="preserve">2025-02-27 02:48:46</x:t>
  </x:si>
  <x:si>
    <x:t xml:space="preserve">CiA ㉾</x:t>
  </x:si>
  <x:si>
    <x:t xml:space="preserve">Saturday Night Live ㉭</x:t>
  </x:si>
  <x:si>
    <x:t xml:space="preserve">SNL ㉾</x:t>
  </x:si>
  <x:si>
    <x:t xml:space="preserve">1E-18</x:t>
  </x:si>
  <x:si>
    <x:t xml:space="preserve">ACiD Productions ㉾</x:t>
  </x:si>
  <x:si>
    <x:t xml:space="preserve">ACiD ㉾</x:t>
  </x:si>
  <x:si>
    <x:t xml:space="preserve">NOVN</x:t>
  </x:si>
  <x:si>
    <x:t xml:space="preserve">Novartis AG</x:t>
  </x:si>
  <x:si>
    <x:t xml:space="preserve">ܐܡܝܕ</x:t>
  </x:si>
  <x:si>
    <x:t xml:space="preserve">ܐܡܝܕ ܥܢܝ̈ܢܐ ܏ܩܕܡ</x:t>
  </x:si>
  <x:si>
    <x:t xml:space="preserve">✠</x:t>
  </x:si>
  <x:si>
    <x:t xml:space="preserve">Knights Of Malta ✠</x:t>
  </x:si>
  <x:si>
    <x:t xml:space="preserve">2025-02-27 14:46:01</x:t>
  </x:si>
  <x:si>
    <x:t xml:space="preserve">Ө ㉾</x:t>
  </x:si>
  <x:si>
    <x:t xml:space="preserve">Ө</x:t>
  </x:si>
  <x:si>
    <x:t xml:space="preserve">2025-02-27 14:49:27</x:t>
  </x:si>
  <x:si>
    <x:t xml:space="preserve">BURR ㉫</x:t>
  </x:si>
  <x:si>
    <x:t xml:space="preserve">Bill Burr ㉫</x:t>
  </x:si>
  <x:si>
    <x:t xml:space="preserve">CROWS ㉫</x:t>
  </x:si>
  <x:si>
    <x:t xml:space="preserve">2025-02-27 14:47:04</x:t>
  </x:si>
  <x:si>
    <x:t xml:space="preserve">Ǝ𒑰</x:t>
  </x:si>
  <x:si>
    <x:t xml:space="preserve">monat money Ǝ𒑰</x:t>
  </x:si>
  <x:si>
    <x:t xml:space="preserve">2025-02-27 14:47:15</x:t>
  </x:si>
  <x:si>
    <x:t xml:space="preserve">2 Cent Club</x:t>
  </x:si>
  <x:si>
    <x:t xml:space="preserve">2CC</x:t>
  </x:si>
  <x:si>
    <x:t xml:space="preserve">1.9E-17</x:t>
  </x:si>
  <x:si>
    <x:t xml:space="preserve">ຮູງ໊ໄ</x:t>
  </x:si>
  <x:si>
    <x:t xml:space="preserve">ຮູງ໊</x:t>
  </x:si>
  <x:si>
    <x:t xml:space="preserve">𐐏</x:t>
  </x:si>
  <x:si>
    <x:t xml:space="preserve">ᔨ𐐏𐐤ቆᔪ</x:t>
  </x:si>
  <x:si>
    <x:t xml:space="preserve">ᎧᏃ</x:t>
  </x:si>
  <x:si>
    <x:t xml:space="preserve">ᎧᏃᎮᎸᏍᎩ</x:t>
  </x:si>
  <x:si>
    <x:t xml:space="preserve">2025-02-27 14:47:16</x:t>
  </x:si>
  <x:si>
    <x:t xml:space="preserve">𐐧Ꮖ</x:t>
  </x:si>
  <x:si>
    <x:t xml:space="preserve">𐐧 ᎦᏆᏙᏗ</x:t>
  </x:si>
  <x:si>
    <x:t xml:space="preserve">2025-02-26 23:03:08</x:t>
  </x:si>
  <x:si>
    <x:t xml:space="preserve">𐐒𐐬𐐿𐐨𐑍𐐸𐐰𐑋</x:t>
  </x:si>
  <x:si>
    <x:t xml:space="preserve">𐐒𐐄𐐗</x:t>
  </x:si>
  <x:si>
    <x:t xml:space="preserve">ߦ ㉺</x:t>
  </x:si>
  <x:si>
    <x:t xml:space="preserve">ߝߐߔߎߌߖߦ</x:t>
  </x:si>
  <x:si>
    <x:t xml:space="preserve">ᜤ᜴</x:t>
  </x:si>
  <x:si>
    <x:t xml:space="preserve">ᜮᜳᜪᜯᜳᜰᜲ᜶ᜤ᜴</x:t>
  </x:si>
  <x:si>
    <x:t xml:space="preserve">Sandringham House</x:t>
  </x:si>
  <x:si>
    <x:t xml:space="preserve">SAND</x:t>
  </x:si>
  <x:si>
    <x:t xml:space="preserve">דרײדל ㉻</x:t>
  </x:si>
  <x:si>
    <x:t xml:space="preserve">㉻</x:t>
  </x:si>
  <x:si>
    <x:t xml:space="preserve">2025-02-27 14:47:17</x:t>
  </x:si>
  <x:si>
    <x:t xml:space="preserve">𐇛𐇹𐇺𐇧𐇱</x:t>
  </x:si>
  <x:si>
    <x:t xml:space="preserve">𐇴</x:t>
  </x:si>
  <x:si>
    <x:t xml:space="preserve">ഴുു</x:t>
  </x:si>
  <x:si>
    <x:t xml:space="preserve">സ്കാൂംക്ഷഴുു</x:t>
  </x:si>
  <x:si>
    <x:t xml:space="preserve">ᰈᰲᰀᰩᰝᰱᱍᰯ</x:t>
  </x:si>
  <x:si>
    <x:t xml:space="preserve">ᱍᰯ</x:t>
  </x:si>
  <x:si>
    <x:t xml:space="preserve">2025-02-27 09:23:13</x:t>
  </x:si>
  <x:si>
    <x:t xml:space="preserve">ꦧꦺꦴ</x:t>
  </x:si>
  <x:si>
    <x:t xml:space="preserve">ꦧꦿꦛꦼꦏꦶꦃ꧇</x:t>
  </x:si>
  <x:si>
    <x:t xml:space="preserve">2025-02-27 14:49:28</x:t>
  </x:si>
  <x:si>
    <x:t xml:space="preserve">⠐</x:t>
  </x:si>
  <x:si>
    <x:t xml:space="preserve">⠙⠜⠍⠏⠖</x:t>
  </x:si>
  <x:si>
    <x:t xml:space="preserve">GOD</x:t>
  </x:si>
  <x:si>
    <x:t xml:space="preserve">De Civitate Dei</x:t>
  </x:si>
  <x:si>
    <x:t xml:space="preserve">2025-02-27 14:46:02</x:t>
  </x:si>
  <x:si>
    <x:t xml:space="preserve">⠛⡑</x:t>
  </x:si>
  <x:si>
    <x:t xml:space="preserve">⡑⠛⢏</x:t>
  </x:si>
  <x:si>
    <x:t xml:space="preserve">2025-02-27 14:47:18</x:t>
  </x:si>
  <x:si>
    <x:t xml:space="preserve">ᝃᝈᝐᝆ</x:t>
  </x:si>
  <x:si>
    <x:t xml:space="preserve">CANASTA</x:t>
  </x:si>
  <x:si>
    <x:t xml:space="preserve">2025-02-27 10:04:17</x:t>
  </x:si>
  <x:si>
    <x:t xml:space="preserve">ᱯᱨ</x:t>
  </x:si>
  <x:si>
    <x:t xml:space="preserve">ᱰᱩᱯᱨᱳᱱ</x:t>
  </x:si>
  <x:si>
    <x:t xml:space="preserve">2025-02-27 04:27:10</x:t>
  </x:si>
  <x:si>
    <x:t xml:space="preserve">ՔՈՏ</x:t>
  </x:si>
  <x:si>
    <x:t xml:space="preserve">ԳՐԵՆԼԱՆԴԻԱ</x:t>
  </x:si>
  <x:si>
    <x:t xml:space="preserve">䷽䷸</x:t>
  </x:si>
  <x:si>
    <x:t xml:space="preserve">䷥䷝䷏䷑䷽䷸</x:t>
  </x:si>
  <x:si>
    <x:t xml:space="preserve">Ⴥჸ</x:t>
  </x:si>
  <x:si>
    <x:t xml:space="preserve">HOES</x:t>
  </x:si>
  <x:si>
    <x:t xml:space="preserve">ᚘ</x:t>
  </x:si>
  <x:si>
    <x:t xml:space="preserve">ᚘꠇᝣꤲᚘ</x:t>
  </x:si>
  <x:si>
    <x:t xml:space="preserve">2025-02-26 23:39:16</x:t>
  </x:si>
  <x:si>
    <x:t xml:space="preserve">ϮϬϮϨ</x:t>
  </x:si>
  <x:si>
    <x:t xml:space="preserve">HOST</x:t>
  </x:si>
  <x:si>
    <x:t xml:space="preserve">2025-02-27 14:47:19</x:t>
  </x:si>
  <x:si>
    <x:t xml:space="preserve">_x0015__x0081__x001a__x0008_</x:t>
  </x:si>
  <x:si>
    <x:t xml:space="preserve">_x0007_</x:t>
  </x:si>
  <x:si>
    <x:t xml:space="preserve">2025-02-27 14:46:03</x:t>
  </x:si>
  <x:si>
    <x:t xml:space="preserve">ᥴᥧᥝᥕ</x:t>
  </x:si>
  <x:si>
    <x:t xml:space="preserve">佛音</x:t>
  </x:si>
  <x:si>
    <x:t xml:space="preserve">Century Means Silence</x:t>
  </x:si>
  <x:si>
    <x:t xml:space="preserve">PUNK</x:t>
  </x:si>
  <x:si>
    <x:t xml:space="preserve">מונופיזיטיזם</x:t>
  </x:si>
  <x:si>
    <x:t xml:space="preserve">סם</x:t>
  </x:si>
  <x:si>
    <x:t xml:space="preserve">2.96482190594E-7</x:t>
  </x:si>
  <x:si>
    <x:t xml:space="preserve">2025-02-27 14:49:29</x:t>
  </x:si>
  <x:si>
    <x:t xml:space="preserve">රුධිර මත්පැන්</x:t>
  </x:si>
  <x:si>
    <x:t xml:space="preserve">MORPH</x:t>
  </x:si>
  <x:si>
    <x:t xml:space="preserve">꤅ꤪꤐꤧꤗ꤬</x:t>
  </x:si>
  <x:si>
    <x:t xml:space="preserve">PhD</x:t>
  </x:si>
  <x:si>
    <x:t xml:space="preserve">2025-02-27 00:15:24</x:t>
  </x:si>
  <x:si>
    <x:t xml:space="preserve">𐒺𐓊𐣴𐓃𐒱</x:t>
  </x:si>
  <x:si>
    <x:t xml:space="preserve">克里姆林</x:t>
  </x:si>
  <x:si>
    <x:t xml:space="preserve">2025-02-27 14:47:20</x:t>
  </x:si>
  <x:si>
    <x:t xml:space="preserve">泽</x:t>
  </x:si>
  <x:si>
    <x:t xml:space="preserve">⑩</x:t>
  </x:si>
  <x:si>
    <x:t xml:space="preserve">Vatican City State</x:t>
  </x:si>
  <x:si>
    <x:t xml:space="preserve">FROCK</x:t>
  </x:si>
  <x:si>
    <x:t xml:space="preserve">ΠΝΕΥΜΑ</x:t>
  </x:si>
  <x:si>
    <x:t xml:space="preserve">WAR</x:t>
  </x:si>
  <x:si>
    <x:t xml:space="preserve">Zürich</x:t>
  </x:si>
  <x:si>
    <x:t xml:space="preserve">Zů</x:t>
  </x:si>
  <x:si>
    <x:t xml:space="preserve">Hegemony</x:t>
  </x:si>
  <x:si>
    <x:t xml:space="preserve">عجթ</x:t>
  </x:si>
  <x:si>
    <x:t xml:space="preserve">2025-02-27 14:47:21</x:t>
  </x:si>
  <x:si>
    <x:t xml:space="preserve">Tokenized Asset</x:t>
  </x:si>
  <x:si>
    <x:t xml:space="preserve">2srMJMLcyDg</x:t>
  </x:si>
  <x:si>
    <x:t xml:space="preserve">yjOz1IqBkQk</x:t>
  </x:si>
  <x:si>
    <x:t xml:space="preserve">2025-02-27 14:46:04</x:t>
  </x:si>
  <x:si>
    <x:t xml:space="preserve">Timestamp: 17:50</x:t>
  </x:si>
  <x:si>
    <x:t xml:space="preserve">YouTube ㉢</x:t>
  </x:si>
  <x:si>
    <x:t xml:space="preserve">YT ㉢</x:t>
  </x:si>
  <x:si>
    <x:t xml:space="preserve">WTkfg3LiJZA</x:t>
  </x:si>
  <x:si>
    <x:t xml:space="preserve">2025-02-26 19:16:35</x:t>
  </x:si>
  <x:si>
    <x:t xml:space="preserve">99-W690JMUo</x:t>
  </x:si>
  <x:si>
    <x:t xml:space="preserve">LOAN</x:t>
  </x:si>
  <x:si>
    <x:t xml:space="preserve">瀈</x:t>
  </x:si>
  <x:si>
    <x:t xml:space="preserve">FREEBIES</x:t>
  </x:si>
  <x:si>
    <x:t xml:space="preserve">Massacre Freebies ?</x:t>
  </x:si>
  <x:si>
    <x:t xml:space="preserve">JAMES COOK</x:t>
  </x:si>
  <x:si>
    <x:t xml:space="preserve">صك</x:t>
  </x:si>
  <x:si>
    <x:t xml:space="preserve">2025-02-27 14:47:22</x:t>
  </x:si>
  <x:si>
    <x:t xml:space="preserve">הח'נרך</x:t>
  </x:si>
  <x:si>
    <x:t xml:space="preserve">ףקשן</x:t>
  </x:si>
  <x:si>
    <x:t xml:space="preserve">2025-02-27 14:47:23</x:t>
  </x:si>
  <x:si>
    <x:t xml:space="preserve">רבנישע וויסנשאפט</x:t>
  </x:si>
  <x:si>
    <x:t xml:space="preserve">רב</x:t>
  </x:si>
  <x:si>
    <x:t xml:space="preserve">2025-02-26 23:41:39</x:t>
  </x:si>
  <x:si>
    <x:t xml:space="preserve">TRAEGER</x:t>
  </x:si>
  <x:si>
    <x:t xml:space="preserve">GRILL</x:t>
  </x:si>
  <x:si>
    <x:t xml:space="preserve">𝀉𝀊𝀓𝀸</x:t>
  </x:si>
  <x:si>
    <x:t xml:space="preserve">𝀧</x:t>
  </x:si>
  <x:si>
    <x:t xml:space="preserve">2025-02-27 14:47:24</x:t>
  </x:si>
  <x:si>
    <x:t xml:space="preserve">Large Comfy Chair</x:t>
  </x:si>
  <x:si>
    <x:t xml:space="preserve">LCC</x:t>
  </x:si>
  <x:si>
    <x:t xml:space="preserve">2025-02-26 19:28:33</x:t>
  </x:si>
  <x:si>
    <x:t xml:space="preserve">𐴑𐴤𐴇𐴥𐴡𐴦𐴚Ϗϖϟ</x:t>
  </x:si>
  <x:si>
    <x:t xml:space="preserve">薙刀術ϟϟ</x:t>
  </x:si>
  <x:si>
    <x:t xml:space="preserve">2025-02-27 01:32:43</x:t>
  </x:si>
  <x:si>
    <x:t xml:space="preserve">ꗫꗧꗹꗑ</x:t>
  </x:si>
  <x:si>
    <x:t xml:space="preserve">ꗣꗣꗣ</x:t>
  </x:si>
  <x:si>
    <x:t xml:space="preserve">ᝮᝲCreationsᝣᝪᝳOfᝣᝪᝳTagᝰᝲ</x:t>
  </x:si>
  <x:si>
    <x:t xml:space="preserve">ᝢ</x:t>
  </x:si>
  <x:si>
    <x:t xml:space="preserve">2025-02-27 13:09:48</x:t>
  </x:si>
  <x:si>
    <x:t xml:space="preserve">ป๊าีก๋ท่าืงืะ</x:t>
  </x:si>
  <x:si>
    <x:t xml:space="preserve">ࡎࡈࡋ࡙ࡖ</x:t>
  </x:si>
  <x:si>
    <x:t xml:space="preserve">2025-02-27 14:46:22</x:t>
  </x:si>
  <x:si>
    <x:t xml:space="preserve">ᤍᤣ ᤔᤡᤴ ᤈᤘᤠ</x:t>
  </x:si>
  <x:si>
    <x:t xml:space="preserve">United States President James K Polk</x:t>
  </x:si>
  <x:si>
    <x:t xml:space="preserve">2025-02-27 13:09:49</x:t>
  </x:si>
  <x:si>
    <x:t xml:space="preserve">䈗</x:t>
  </x:si>
  <x:si>
    <x:t xml:space="preserve">WELT</x:t>
  </x:si>
  <x:si>
    <x:t xml:space="preserve">2025-02-27 02:08:25</x:t>
  </x:si>
  <x:si>
    <x:t xml:space="preserve">𐨗𐨁𐨞𐨐𐨮 𐨥𐨵𐨫𐨐𐨅𐨣𐨧𐨃𐨒</x:t>
  </x:si>
  <x:si>
    <x:t xml:space="preserve">BRAUN</x:t>
  </x:si>
  <x:si>
    <x:t xml:space="preserve">United States Constitution</x:t>
  </x:si>
  <x:si>
    <x:t xml:space="preserve">ᒠ1ᒠ6ᒠ7</x:t>
  </x:si>
  <x:si>
    <x:t xml:space="preserve">2025-02-27 11:42:29</x:t>
  </x:si>
  <x:si>
    <x:t xml:space="preserve">ACCOUNT</x:t>
  </x:si>
  <x:si>
    <x:t xml:space="preserve">ᒹAᒴ1ᒱ0</x:t>
  </x:si>
  <x:si>
    <x:t xml:space="preserve">CODE</x:t>
  </x:si>
  <x:si>
    <x:t xml:space="preserve">᐀3</x:t>
  </x:si>
  <x:si>
    <x:t xml:space="preserve">2025-02-27 11:44:32</x:t>
  </x:si>
  <x:si>
    <x:t xml:space="preserve">irc.debian.org#pulsechain</x:t>
  </x:si>
  <x:si>
    <x:t xml:space="preserve">IRC</x:t>
  </x:si>
  <x:si>
    <x:t xml:space="preserve">ਲ</x:t>
  </x:si>
  <x:si>
    <x:t xml:space="preserve">ਓੰਫਃਙ਼ੌਘਁ</x:t>
  </x:si>
  <x:si>
    <x:t xml:space="preserve">2025-02-27 14:47:25</x:t>
  </x:si>
  <x:si>
    <x:t xml:space="preserve">Conrad Ferdinand Meyer</x:t>
  </x:si>
  <x:si>
    <x:t xml:space="preserve">Bhutan 👑</x:t>
  </x:si>
  <x:si>
    <x:t xml:space="preserve">ΦΓΔ</x:t>
  </x:si>
  <x:si>
    <x:t xml:space="preserve">2025-02-27 14:46:23</x:t>
  </x:si>
  <x:si>
    <x:t xml:space="preserve">One Time Pass</x:t>
  </x:si>
  <x:si>
    <x:t xml:space="preserve">OTP</x:t>
  </x:si>
  <x:si>
    <x:t xml:space="preserve">2025-02-27 14:49:31</x:t>
  </x:si>
  <x:si>
    <x:t xml:space="preserve">2025-02-27 14:49:32</x:t>
  </x:si>
  <x:si>
    <x:t xml:space="preserve">One Time Pass Fake</x:t>
  </x:si>
  <x:si>
    <x:t xml:space="preserve">OTPF</x:t>
  </x:si>
  <x:si>
    <x:t xml:space="preserve">2025-02-27 14:49:33</x:t>
  </x:si>
  <x:si>
    <x:t xml:space="preserve">2025-02-27 02:10:25</x:t>
  </x:si>
  <x:si>
    <x:t xml:space="preserve">2025-02-27 14:49:34</x:t>
  </x:si>
  <x:si>
    <x:t xml:space="preserve">2025-02-27 14:49:35</x:t>
  </x:si>
  <x:si>
    <x:t xml:space="preserve">2025-02-27 14:44:55</x:t>
  </x:si>
  <x:si>
    <x:t xml:space="preserve">2025-02-27 14:44:56</x:t>
  </x:si>
  <x:si>
    <x:t xml:space="preserve">2025-02-27 14:44:57</x:t>
  </x:si>
  <x:si>
    <x:t xml:space="preserve">𑊣𑊁𑊟𑊃𑊢𑊖𑊀</x:t>
  </x:si>
  <x:si>
    <x:t xml:space="preserve">𑜾</x:t>
  </x:si>
  <x:si>
    <x:t xml:space="preserve">2025-02-27 14:47:44</x:t>
  </x:si>
  <x:si>
    <x:t xml:space="preserve">𐿡𐿱𐿶𐿦𐿧</x:t>
  </x:si>
  <x:si>
    <x:t xml:space="preserve">NUT</x:t>
  </x:si>
  <x:si>
    <x:t xml:space="preserve">2025-02-27 11:29:40</x:t>
  </x:si>
  <x:si>
    <x:t xml:space="preserve">𞄀𞄑𞄡𞄢𞄣𞄪𞄋𞄩 𞅏</x:t>
  </x:si>
  <x:si>
    <x:t xml:space="preserve">𞅏</x:t>
  </x:si>
  <x:si>
    <x:t xml:space="preserve">𑒙𑓂𑒪𑒲𑓅𑒫𑒱𑒙𑓃 𞅏</x:t>
  </x:si>
  <x:si>
    <x:t xml:space="preserve">𑒙𑒰𑓅 𞅏</x:t>
  </x:si>
  <x:si>
    <x:t xml:space="preserve">2025-02-27 14:44:58</x:t>
  </x:si>
  <x:si>
    <x:t xml:space="preserve">Always Ready, Always There</x:t>
  </x:si>
  <x:si>
    <x:t xml:space="preserve">𑫊𑫤𑫖𑫚</x:t>
  </x:si>
  <x:si>
    <x:t xml:space="preserve">2025-02-27 10:03:07</x:t>
  </x:si>
  <x:si>
    <x:t xml:space="preserve">李克强</x:t>
  </x:si>
  <x:si>
    <x:t xml:space="preserve">克强</x:t>
  </x:si>
  <x:si>
    <x:t xml:space="preserve">2025-02-27 08:56:30</x:t>
  </x:si>
  <x:si>
    <x:t xml:space="preserve">Gaon</x:t>
  </x:si>
  <x:si>
    <x:t xml:space="preserve">GAON</x:t>
  </x:si>
  <x:si>
    <x:t xml:space="preserve">MEASURE</x:t>
  </x:si>
  <x:si>
    <x:t xml:space="preserve">ညΦΤ0</x:t>
  </x:si>
  <x:si>
    <x:t xml:space="preserve">𑀭𑀭𑀭𑀭𑀭</x:t>
  </x:si>
  <x:si>
    <x:t xml:space="preserve">BFF</x:t>
  </x:si>
  <x:si>
    <x:t xml:space="preserve">2025-02-27 14:46:24</x:t>
  </x:si>
  <x:si>
    <x:t xml:space="preserve">𑲃𑲄𑱷𑱶</x:t>
  </x:si>
  <x:si>
    <x:t xml:space="preserve">𑱰</x:t>
  </x:si>
  <x:si>
    <x:t xml:space="preserve">Interessanti</x:t>
  </x:si>
  <x:si>
    <x:t xml:space="preserve">VATHEK</x:t>
  </x:si>
  <x:si>
    <x:t xml:space="preserve">2025-02-27 14:47:45</x:t>
  </x:si>
  <x:si>
    <x:t xml:space="preserve">Office Of Louise Glaum</x:t>
  </x:si>
  <x:si>
    <x:t xml:space="preserve">OATH</x:t>
  </x:si>
  <x:si>
    <x:t xml:space="preserve">2025-02-27 01:48:05</x:t>
  </x:si>
  <x:si>
    <x:t xml:space="preserve">𑆨𑆼𑆤𑆼𑆦𑇊𑆴𑆠𑇀𑆱𑇀</x:t>
  </x:si>
  <x:si>
    <x:t xml:space="preserve">𑆢𑆮𑆾𑆱𑇀</x:t>
  </x:si>
  <x:si>
    <x:t xml:space="preserve">2025-02-27 14:44:59</x:t>
  </x:si>
  <x:si>
    <x:t xml:space="preserve">The Penrose Society</x:t>
  </x:si>
  <x:si>
    <x:t xml:space="preserve">PENROSE</x:t>
  </x:si>
  <x:si>
    <x:t xml:space="preserve">United States Deputy Secretary of the Interior</x:t>
  </x:si>
  <x:si>
    <x:t xml:space="preserve">◌𝨗CRAZY◌𝨗</x:t>
  </x:si>
  <x:si>
    <x:t xml:space="preserve">Verlagsallerhand</x:t>
  </x:si>
  <x:si>
    <x:t xml:space="preserve">︗</x:t>
  </x:si>
  <x:si>
    <x:t xml:space="preserve">2025-02-27 10:38:50</x:t>
  </x:si>
  <x:si>
    <x:t xml:space="preserve">Кимкан</x:t>
  </x:si>
  <x:si>
    <x:t xml:space="preserve">ZION</x:t>
  </x:si>
  <x:si>
    <x:t xml:space="preserve">LEPROSY</x:t>
  </x:si>
  <x:si>
    <x:t xml:space="preserve">🌈</x:t>
  </x:si>
  <x:si>
    <x:t xml:space="preserve">2025-02-27 14:45:00</x:t>
  </x:si>
  <x:si>
    <x:t xml:space="preserve">Allantoin</x:t>
  </x:si>
  <x:si>
    <x:t xml:space="preserve">SPEED</x:t>
  </x:si>
  <x:si>
    <x:t xml:space="preserve">Chlorphenesin</x:t>
  </x:si>
  <x:si>
    <x:t xml:space="preserve">ROHYPNOL</x:t>
  </x:si>
  <x:si>
    <x:t xml:space="preserve">2025-02-27 11:42:36</x:t>
  </x:si>
  <x:si>
    <x:t xml:space="preserve">Lanolin</x:t>
  </x:si>
  <x:si>
    <x:t xml:space="preserve">COCAINE</x:t>
  </x:si>
  <x:si>
    <x:t xml:space="preserve">2025-02-27 14:47:46</x:t>
  </x:si>
  <x:si>
    <x:t xml:space="preserve">Archdiocese Of Alabama</x:t>
  </x:si>
  <x:si>
    <x:t xml:space="preserve">EXIMIA</x:t>
  </x:si>
  <x:si>
    <x:t xml:space="preserve">Lurleen Burns Wallace</x:t>
  </x:si>
  <x:si>
    <x:t xml:space="preserve">EPICURUS</x:t>
  </x:si>
  <x:si>
    <x:t xml:space="preserve">Secretary Of The United States Department Of Homeland Security</x:t>
  </x:si>
  <x:si>
    <x:t xml:space="preserve">JETHRO</x:t>
  </x:si>
  <x:si>
    <x:t xml:space="preserve">2025-02-27 02:00:18</x:t>
  </x:si>
  <x:si>
    <x:t xml:space="preserve">President Of The United States Of American</x:t>
  </x:si>
  <x:si>
    <x:t xml:space="preserve">CLETUS</x:t>
  </x:si>
  <x:si>
    <x:t xml:space="preserve">2025-02-27 14:45:01</x:t>
  </x:si>
  <x:si>
    <x:t xml:space="preserve">The Blood King</x:t>
  </x:si>
  <x:si>
    <x:t xml:space="preserve">UBALDO</x:t>
  </x:si>
  <x:si>
    <x:t xml:space="preserve">2025-02-27 02:46:37</x:t>
  </x:si>
  <x:si>
    <x:t xml:space="preserve">Uncle Tom</x:t>
  </x:si>
  <x:si>
    <x:t xml:space="preserve">פון טאם</x:t>
  </x:si>
  <x:si>
    <x:t xml:space="preserve">2025-02-26 19:30:36</x:t>
  </x:si>
  <x:si>
    <x:t xml:space="preserve">💜 Purple Heart Recipient 💜</x:t>
  </x:si>
  <x:si>
    <x:t xml:space="preserve">DEVITATION</x:t>
  </x:si>
  <x:si>
    <x:t xml:space="preserve">2025-02-27 02:43:47</x:t>
  </x:si>
  <x:si>
    <x:t xml:space="preserve">MANDATE</x:t>
  </x:si>
  <x:si>
    <x:t xml:space="preserve">𘥿</x:t>
  </x:si>
  <x:si>
    <x:t xml:space="preserve">Epsom Salts</x:t>
  </x:si>
  <x:si>
    <x:t xml:space="preserve">COMBAT™</x:t>
  </x:si>
  <x:si>
    <x:t xml:space="preserve">2025-02-27 14:45:02</x:t>
  </x:si>
  <x:si>
    <x:t xml:space="preserve">Ի</x:t>
  </x:si>
  <x:si>
    <x:t xml:space="preserve">ևՓՋՃՄ</x:t>
  </x:si>
  <x:si>
    <x:t xml:space="preserve">MENSA™</x:t>
  </x:si>
  <x:si>
    <x:t xml:space="preserve">𑈫𑈤𑈂𑈥𑈩𑈇𑈫</x:t>
  </x:si>
  <x:si>
    <x:t xml:space="preserve">2025-02-27 14:47:47</x:t>
  </x:si>
  <x:si>
    <x:t xml:space="preserve">Oprah Winfrey</x:t>
  </x:si>
  <x:si>
    <x:t xml:space="preserve">𑩄𑩀𑨱𑨫𑨞𑨿𑩄</x:t>
  </x:si>
  <x:si>
    <x:t xml:space="preserve">Žižek</x:t>
  </x:si>
  <x:si>
    <x:t xml:space="preserve">ŽIŽEK</x:t>
  </x:si>
  <x:si>
    <x:t xml:space="preserve">2025-02-27 14:45:09</x:t>
  </x:si>
  <x:si>
    <x:t xml:space="preserve">Bob Dylan</x:t>
  </x:si>
  <x:si>
    <x:t xml:space="preserve">BARD</x:t>
  </x:si>
  <x:si>
    <x:t xml:space="preserve">2025-02-27 14:45:11</x:t>
  </x:si>
  <x:si>
    <x:t xml:space="preserve">Johann Konrad Bolleter</x:t>
  </x:si>
  <x:si>
    <x:t xml:space="preserve">LANKERSHIM</x:t>
  </x:si>
  <x:si>
    <x:t xml:space="preserve">2025-02-27 02:09:00</x:t>
  </x:si>
  <x:si>
    <x:t xml:space="preserve">Lillies</x:t>
  </x:si>
  <x:si>
    <x:t xml:space="preserve">𑚇𑚂𑚥𑚃𑚥</x:t>
  </x:si>
  <x:si>
    <x:t xml:space="preserve">2025-02-27 14:47:49</x:t>
  </x:si>
  <x:si>
    <x:t xml:space="preserve">Uniswap™</x:t>
  </x:si>
  <x:si>
    <x:t xml:space="preserve">🈹</x:t>
  </x:si>
  <x:si>
    <x:t xml:space="preserve">全能神教会</x:t>
  </x:si>
  <x:si>
    <x:t xml:space="preserve">东方闪电</x:t>
  </x:si>
  <x:si>
    <x:t xml:space="preserve">2025-02-27 14:47:48</x:t>
  </x:si>
  <x:si>
    <x:t xml:space="preserve">The Bradford Club</x:t>
  </x:si>
  <x:si>
    <x:t xml:space="preserve">GRAND CRUS</x:t>
  </x:si>
  <x:si>
    <x:t xml:space="preserve">2025-02-27 01:17:33</x:t>
  </x:si>
  <x:si>
    <x:t xml:space="preserve">The Bannatyne Club</x:t>
  </x:si>
  <x:si>
    <x:t xml:space="preserve">PETIT CRUS</x:t>
  </x:si>
  <x:si>
    <x:t xml:space="preserve">2025-02-27 02:59:51</x:t>
  </x:si>
  <x:si>
    <x:t xml:space="preserve">American Engineers' Council for Professional Development</x:t>
  </x:si>
  <x:si>
    <x:t xml:space="preserve">سلطنة عُمان</x:t>
  </x:si>
  <x:si>
    <x:t xml:space="preserve">2025-02-27 12:34:27</x:t>
  </x:si>
  <x:si>
    <x:t xml:space="preserve">American Institute of Mining, Metallurgical, and Petroleum Engineers</x:t>
  </x:si>
  <x:si>
    <x:t xml:space="preserve">MURDER™</x:t>
  </x:si>
  <x:si>
    <x:t xml:space="preserve">2025-02-27 14:47:10</x:t>
  </x:si>
  <x:si>
    <x:t xml:space="preserve">Innit ™</x:t>
  </x:si>
  <x:si>
    <x:t xml:space="preserve">ACAB</x:t>
  </x:si>
  <x:si>
    <x:t xml:space="preserve">2025-02-27 03:17:40</x:t>
  </x:si>
  <x:si>
    <x:t xml:space="preserve">Public Record</x:t>
  </x:si>
  <x:si>
    <x:t xml:space="preserve">BAIL™</x:t>
  </x:si>
  <x:si>
    <x:t xml:space="preserve">Happy "Julius Caesar" Rockefeller</x:t>
  </x:si>
  <x:si>
    <x:t xml:space="preserve">FAKE™</x:t>
  </x:si>
  <x:si>
    <x:t xml:space="preserve">2025-02-27 02:09:02</x:t>
  </x:si>
  <x:si>
    <x:t xml:space="preserve">Sound Castle Coloring Book</x:t>
  </x:si>
  <x:si>
    <x:t xml:space="preserve">SECURITY™</x:t>
  </x:si>
  <x:si>
    <x:t xml:space="preserve">HEXiKo_O</x:t>
  </x:si>
  <x:si>
    <x:t xml:space="preserve">ROYALTY™</x:t>
  </x:si>
  <x:si>
    <x:t xml:space="preserve">2025-02-27 14:47:50</x:t>
  </x:si>
  <x:si>
    <x:t xml:space="preserve">2025-02-27 14:45:12</x:t>
  </x:si>
  <x:si>
    <x:t xml:space="preserve">1.765394366E-9</x:t>
  </x:si>
  <x:si>
    <x:t xml:space="preserve">2.3450350868E-8</x:t>
  </x:si>
  <x:si>
    <x:t xml:space="preserve">Ryerson Department Of Mines</x:t>
  </x:si>
  <x:si>
    <x:t xml:space="preserve">NIGGER™</x:t>
  </x:si>
  <x:si>
    <x:t xml:space="preserve">2025-02-27 14:45:13</x:t>
  </x:si>
  <x:si>
    <x:t xml:space="preserve">Ditto</x:t>
  </x:si>
  <x:si>
    <x:t xml:space="preserve">DIBS™</x:t>
  </x:si>
  <x:si>
    <x:t xml:space="preserve">YesNukes</x:t>
  </x:si>
  <x:si>
    <x:t xml:space="preserve">NUKES™</x:t>
  </x:si>
  <x:si>
    <x:t xml:space="preserve">2025-02-27 14:47:51</x:t>
  </x:si>
  <x:si>
    <x:t xml:space="preserve">Warning</x:t>
  </x:si>
  <x:si>
    <x:t xml:space="preserve">MUNITION™</x:t>
  </x:si>
  <x:si>
    <x:t xml:space="preserve">2025-02-27 03:07:29</x:t>
  </x:si>
  <x:si>
    <x:t xml:space="preserve">Ginger</x:t>
  </x:si>
  <x:si>
    <x:t xml:space="preserve">GINGER™</x:t>
  </x:si>
  <x:si>
    <x:t xml:space="preserve">2025-02-27 14:46:27</x:t>
  </x:si>
  <x:si>
    <x:t xml:space="preserve">Test Token</x:t>
  </x:si>
  <x:si>
    <x:t xml:space="preserve">UNDEPLOYED™</x:t>
  </x:si>
  <x:si>
    <x:t xml:space="preserve">2.7054081E-10</x:t>
  </x:si>
  <x:si>
    <x:t xml:space="preserve">2025-02-27 14:48:01</x:t>
  </x:si>
  <x:si>
    <x:t xml:space="preserve">Derivative Subsidy</x:t>
  </x:si>
  <x:si>
    <x:t xml:space="preserve">SUBSIDY™</x:t>
  </x:si>
  <x:si>
    <x:t xml:space="preserve">3.6113573543E-8</x:t>
  </x:si>
  <x:si>
    <x:t xml:space="preserve">2025-02-27 08:27:04</x:t>
  </x:si>
  <x:si>
    <x:t xml:space="preserve">Integrative Hedge</x:t>
  </x:si>
  <x:si>
    <x:t xml:space="preserve">HEDGE</x:t>
  </x:si>
  <x:si>
    <x:t xml:space="preserve">2025-02-27 14:48:02</x:t>
  </x:si>
  <x:si>
    <x:t xml:space="preserve">HEDGE™</x:t>
  </x:si>
  <x:si>
    <x:t xml:space="preserve">6.40255290174E-7</x:t>
  </x:si>
  <x:si>
    <x:t xml:space="preserve">None</x:t>
  </x:si>
  <x:si>
    <x:t xml:space="preserve">6.66E-16</x:t>
  </x:si>
  <x:si>
    <x:t xml:space="preserve">2025-02-27 14:48:03</x:t>
  </x:si>
  <x:si>
    <x:t xml:space="preserve">Hammer Time</x:t>
  </x:si>
  <x:si>
    <x:t xml:space="preserve">DISCOVERY™</x:t>
  </x:si>
  <x:si>
    <x:t xml:space="preserve">SUSPEND</x:t>
  </x:si>
  <x:si>
    <x:t xml:space="preserve">PROSTITUTION™</x:t>
  </x:si>
  <x:si>
    <x:t xml:space="preserve">Helsinki Dyschourd</x:t>
  </x:si>
  <x:si>
    <x:t xml:space="preserve">IMMUNITY™</x:t>
  </x:si>
  <x:si>
    <x:t xml:space="preserve">2025-02-27 13:41:08</x:t>
  </x:si>
  <x:si>
    <x:t xml:space="preserve">Failure To Appear</x:t>
  </x:si>
  <x:si>
    <x:t xml:space="preserve">STUTTER™</x:t>
  </x:si>
  <x:si>
    <x:t xml:space="preserve">2025-02-27 14:48:04</x:t>
  </x:si>
  <x:si>
    <x:t xml:space="preserve">Stay Of Proceedings</x:t>
  </x:si>
  <x:si>
    <x:t xml:space="preserve">®™</x:t>
  </x:si>
  <x:si>
    <x:t xml:space="preserve">INDEPENDENCE</x:t>
  </x:si>
  <x:si>
    <x:t xml:space="preserve">©™</x:t>
  </x:si>
  <x:si>
    <x:t xml:space="preserve">محمد بن الحاج قاسم</x:t>
  </x:si>
  <x:si>
    <x:t xml:space="preserve">YAHYA™</x:t>
  </x:si>
  <x:si>
    <x:t xml:space="preserve">2025-02-27 14:46:58</x:t>
  </x:si>
  <x:si>
    <x:t xml:space="preserve">pINDEPENDENCE</x:t>
  </x:si>
  <x:si>
    <x:t xml:space="preserve">ⓟ</x:t>
  </x:si>
  <x:si>
    <x:t xml:space="preserve">1E-15</x:t>
  </x:si>
  <x:si>
    <x:t xml:space="preserve">2025-02-27 07:47:10</x:t>
  </x:si>
  <x:si>
    <x:t xml:space="preserve">GIMME FIVE</x:t>
  </x:si>
  <x:si>
    <x:t xml:space="preserve">⑤</x:t>
  </x:si>
  <x:si>
    <x:t xml:space="preserve">2025-02-27 07:39:48</x:t>
  </x:si>
  <x:si>
    <x:t xml:space="preserve">Random Number Generator</x:t>
  </x:si>
  <x:si>
    <x:t xml:space="preserve">RNG</x:t>
  </x:si>
  <x:si>
    <x:t xml:space="preserve">2025-02-27 02:12:56</x:t>
  </x:si>
  <x:si>
    <x:t xml:space="preserve">2025-02-27 02:18:00</x:t>
  </x:si>
  <x:si>
    <x:t xml:space="preserve">2025-02-27 02:11:48</x:t>
  </x:si>
  <x:si>
    <x:t xml:space="preserve">libAtropaMath v1.0</x:t>
  </x:si>
  <x:si>
    <x:t xml:space="preserve">MATH</x:t>
  </x:si>
  <x:si>
    <x:t xml:space="preserve">2025-02-27 02:12:57</x:t>
  </x:si>
  <x:si>
    <x:t xml:space="preserve">libAtropaMath v1.1</x:t>
  </x:si>
  <x:si>
    <x:t xml:space="preserve">libConjecture v1.0</x:t>
  </x:si>
  <x:si>
    <x:t xml:space="preserve">Fa</x:t>
  </x:si>
  <x:si>
    <x:t xml:space="preserve">2025-02-27 02:11:49</x:t>
  </x:si>
  <x:si>
    <x:t xml:space="preserve">2025-02-27 02:12:04</x:t>
  </x:si>
  <x:si>
    <x:t xml:space="preserve">libDynamic v1.0</x:t>
  </x:si>
  <x:si>
    <x:t xml:space="preserve">Faung</x:t>
  </x:si>
  <x:si>
    <x:t xml:space="preserve">2025-02-27 02:14:21</x:t>
  </x:si>
  <x:si>
    <x:t xml:space="preserve">2025-02-27 02:12:05</x:t>
  </x:si>
  <x:si>
    <x:t xml:space="preserve">2025-02-27 02:11:50</x:t>
  </x:si>
  <x:si>
    <x:t xml:space="preserve">AFFECTION™</x:t>
  </x:si>
  <x:si>
    <x:t xml:space="preserve">Ⓐ</x:t>
  </x:si>
  <x:si>
    <x:t xml:space="preserve">BLÄTTER™</x:t>
  </x:si>
  <x:si>
    <x:t xml:space="preserve">ออกจาก🄮</x:t>
  </x:si>
  <x:si>
    <x:t xml:space="preserve">2025-02-27 02:14:22</x:t>
  </x:si>
  <x:si>
    <x:t xml:space="preserve">Pick 4</x:t>
  </x:si>
  <x:si>
    <x:t xml:space="preserve">LOTTO</x:t>
  </x:si>
  <x:si>
    <x:t xml:space="preserve">2025-02-27 02:12:19</x:t>
  </x:si>
  <x:si>
    <x:t xml:space="preserve">2025-02-27 02:12:20</x:t>
  </x:si>
  <x:si>
    <x:t xml:space="preserve">ꑟꀊꆅꊏꆹꆅꇬ</x:t>
  </x:si>
  <x:si>
    <x:t xml:space="preserve">限制令™</x:t>
  </x:si>
  <x:si>
    <x:t xml:space="preserve">2025-02-27 00:00:13</x:t>
  </x:si>
  <x:si>
    <x:t xml:space="preserve">Not Exist</x:t>
  </x:si>
  <x:si>
    <x:t xml:space="preserve">TOD</x:t>
  </x:si>
  <x:si>
    <x:t xml:space="preserve">2025-02-27 00:09:36</x:t>
  </x:si>
  <x:si>
    <x:t xml:space="preserve"></x:t>
  </x:si>
  <x:si>
    <x:t xml:space="preserve"></x:t>
  </x:si>
  <x:si>
    <x:t xml:space="preserve">2025-02-27 02:12:31</x:t>
  </x:si>
  <x:si>
    <x:t xml:space="preserve">Tetratricopeptides</x:t>
  </x:si>
  <x:si>
    <x:t xml:space="preserve">正</x:t>
  </x:si>
  <x:si>
    <x:t xml:space="preserve">It's Not Forbidden</x:t>
  </x:si>
  <x:si>
    <x:t xml:space="preserve">Berwickshire Naturalists' Club</x:t>
  </x:si>
  <x:si>
    <x:t xml:space="preserve">2025-02-27 02:12:32</x:t>
  </x:si>
  <x:si>
    <x:t xml:space="preserve">The Tigard Foundation</x:t>
  </x:si>
  <x:si>
    <x:t xml:space="preserve">AD</x:t>
  </x:si>
  <x:si>
    <x:t xml:space="preserve">2025-02-27 00:09:35</x:t>
  </x:si>
  <x:si>
    <x:t xml:space="preserve">Make The Grade</x:t>
  </x:si>
  <x:si>
    <x:t xml:space="preserve">ÁSGARD</x:t>
  </x:si>
  <x:si>
    <x:t xml:space="preserve">Notice That Ol' En Banc Faggot OJ "The Federal Reserve Deficit" Simpson You Musta Quit Lookin For</x:t>
  </x:si>
  <x:si>
    <x:t xml:space="preserve">Durek Verrett</x:t>
  </x:si>
  <x:si>
    <x:t xml:space="preserve">2025-02-27 00:00:14</x:t>
  </x:si>
  <x:si>
    <x:t xml:space="preserve">Papa Curly Adebisi KRS One Lloyd Austin</x:t>
  </x:si>
  <x:si>
    <x:t xml:space="preserve">United States Secretary Of Defense™</x:t>
  </x:si>
  <x:si>
    <x:t xml:space="preserve">2025-02-26 23:14:45</x:t>
  </x:si>
  <x:si>
    <x:t xml:space="preserve">Michael Mann</x:t>
  </x:si>
  <x:si>
    <x:t xml:space="preserve">נתניהו™</x:t>
  </x:si>
  <x:si>
    <x:t xml:space="preserve">Robert Beck Redford</x:t>
  </x:si>
  <x:si>
    <x:t xml:space="preserve">Erdoğan™</x:t>
  </x:si>
  <x:si>
    <x:t xml:space="preserve">2025-02-26 23:15:28</x:t>
  </x:si>
  <x:si>
    <x:t xml:space="preserve">In The Know</x:t>
  </x:si>
  <x:si>
    <x:t xml:space="preserve">GBABY</x:t>
  </x:si>
  <x:si>
    <x:t xml:space="preserve">2025-02-26 22:00:34</x:t>
  </x:si>
  <x:si>
    <x:t xml:space="preserve">Dysnomia Genesis Rewards Token</x:t>
  </x:si>
  <x:si>
    <x:t xml:space="preserve">dGENESIS</x:t>
  </x:si>
  <x:si>
    <x:t xml:space="preserve">SuGaR pLUMz</x:t>
  </x:si>
  <x:si>
    <x:t xml:space="preserve">NINJATARD</x:t>
  </x:si>
  <x:si>
    <x:t xml:space="preserve">1.0383E-14</x:t>
  </x:si>
  <x:si>
    <x:t xml:space="preserve">2025-02-26 21:49:09</x:t>
  </x:si>
  <x:si>
    <x:t xml:space="preserve">Cult of the Dead Cow</x:t>
  </x:si>
  <x:si>
    <x:t xml:space="preserve">cDc</x:t>
  </x:si>
  <x:si>
    <x:t xml:space="preserve">2025-02-26 21:49:10</x:t>
  </x:si>
  <x:si>
    <x:t xml:space="preserve">Ordo Templi Orientis</x:t>
  </x:si>
  <x:si>
    <x:t xml:space="preserve">O.T.O.</x:t>
  </x:si>
  <x:si>
    <x:t xml:space="preserve">1E-16</x:t>
  </x:si>
  <x:si>
    <x:t xml:space="preserve">Order of the Temple of the East</x:t>
  </x:si>
  <x:si>
    <x:t xml:space="preserve">Kate Blockbuster Middleton</x:t>
  </x:si>
  <x:si>
    <x:t xml:space="preserve">MISUNDERSTAND®</x:t>
  </x:si>
  <x:si>
    <x:t xml:space="preserve">2025-02-26 21:32:15</x:t>
  </x:si>
  <x:si>
    <x:t xml:space="preserve">Ubu Roi</x:t>
  </x:si>
  <x:si>
    <x:t xml:space="preserve">UBWOBA</x:t>
  </x:si>
  <x:si>
    <x:t xml:space="preserve">2025-02-26 21:32:16</x:t>
  </x:si>
  <x:si>
    <x:t xml:space="preserve">Cutting Crew</x:t>
  </x:si>
  <x:si>
    <x:t xml:space="preserve">CREW</x:t>
  </x:si>
  <x:si>
    <x:t xml:space="preserve">サイドティック</x:t>
  </x:si>
  <x:si>
    <x:t xml:space="preserve">クッィテドイサ</x:t>
  </x:si>
  <x:si>
    <x:t xml:space="preserve">2025-02-26 21:33:13</x:t>
  </x:si>
  <x:si>
    <x:t xml:space="preserve">ماریا</x:t>
  </x:si>
  <x:si>
    <x:t xml:space="preserve">YAKUZA</x:t>
  </x:si>
  <x:si>
    <x:t xml:space="preserve">2025-02-26 21:27:06</x:t>
  </x:si>
  <x:si>
    <x:t xml:space="preserve">ヤクザ</x:t>
  </x:si>
  <x:si>
    <x:t xml:space="preserve">2025-02-26 21:21:54</x:t>
  </x:si>
  <x:si>
    <x:t xml:space="preserve">Cover Teh</x:t>
  </x:si>
  <x:si>
    <x:t xml:space="preserve">QUARTERMASTERS</x:t>
  </x:si>
  <x:si>
    <x:t xml:space="preserve">Keep In Touch</x:t>
  </x:si>
  <x:si>
    <x:t xml:space="preserve">BANK OF BERMUDA</x:t>
  </x:si>
  <x:si>
    <x:t xml:space="preserve">2025-02-26 21:15:44</x:t>
  </x:si>
  <x:si>
    <x:t xml:space="preserve">Keys Of Ong</x:t>
  </x:si>
  <x:si>
    <x:t xml:space="preserve">ARCADIA</x:t>
  </x:si>
  <x:si>
    <x:t xml:space="preserve">3.1E-17</x:t>
  </x:si>
  <x:si>
    <x:t xml:space="preserve">Optimus Right</x:t>
  </x:si>
  <x:si>
    <x:t xml:space="preserve">ABJURATION</x:t>
  </x:si>
  <x:si>
    <x:t xml:space="preserve">2025-02-26 21:15:45</x:t>
  </x:si>
  <x:si>
    <x:t xml:space="preserve">Genesis P-Orridge Coin ㉾</x:t>
  </x:si>
  <x:si>
    <x:t xml:space="preserve">GNE㉾ESIS㉾</x:t>
  </x:si>
  <x:si>
    <x:t xml:space="preserve">㈞</x:t>
  </x:si>
  <x:si>
    <x:t xml:space="preserve">Dissertation</x:t>
  </x:si>
  <x:si>
    <x:t xml:space="preserve">CU㉾NY㉾</x:t>
  </x:si>
  <x:si>
    <x:t xml:space="preserve">2025-02-26 21:16:49</x:t>
  </x:si>
  <x:si>
    <x:t xml:space="preserve">Gold Standard</x:t>
  </x:si>
  <x:si>
    <x:t xml:space="preserve">僮㉾㉾</x:t>
  </x:si>
  <x:si>
    <x:t xml:space="preserve">2025-02-26 21:05:01</x:t>
  </x:si>
  <x:si>
    <x:t xml:space="preserve">H㉾X</x:t>
  </x:si>
  <x:si>
    <x:t xml:space="preserve">Reserve Teh ㉾</x:t>
  </x:si>
  <x:si>
    <x:t xml:space="preserve">F㉾D</x:t>
  </x:si>
  <x:si>
    <x:t xml:space="preserve">2025-02-26 21:05:02</x:t>
  </x:si>
  <x:si>
    <x:t xml:space="preserve">㉾ مفتی ㉾</x:t>
  </x:si>
  <x:si>
    <x:t xml:space="preserve">M㉾FTi</x:t>
  </x:si>
  <x:si>
    <x:t xml:space="preserve">2025-02-26 20:59:53</x:t>
  </x:si>
  <x:si>
    <x:t xml:space="preserve">㉾ تابور ㉾</x:t>
  </x:si>
  <x:si>
    <x:t xml:space="preserve">T㉾ABOʁ</x:t>
  </x:si>
  <x:si>
    <x:t xml:space="preserve">1E-17</x:t>
  </x:si>
  <x:si>
    <x:t xml:space="preserve">2025-02-26 20:46:13</x:t>
  </x:si>
  <x:si>
    <x:t xml:space="preserve">村山 富市</x:t>
  </x:si>
  <x:si>
    <x:t xml:space="preserve">GOSHEN</x:t>
  </x:si>
  <x:si>
    <x:t xml:space="preserve">2025-02-26 20:46:14</x:t>
  </x:si>
  <x:si>
    <x:t xml:space="preserve">ՁՅՈ ՒՆՓ ՈԹՈՐԿ ԻՏ ԱՂԱՆ ԴՆԵՐԻՇ ՈՈՒ</x:t>
  </x:si>
  <x:si>
    <x:t xml:space="preserve">MINISTRY</x:t>
  </x:si>
  <x:si>
    <x:t xml:space="preserve">㉾ տիսդիլլէրփս ալգհէմե ㉾</x:t>
  </x:si>
  <x:si>
    <x:t xml:space="preserve">abC^n*</x:t>
  </x:si>
  <x:si>
    <x:t xml:space="preserve">㉾ իգէ և սնով ㉾</x:t>
  </x:si>
  <x:si>
    <x:t xml:space="preserve">ICE</x:t>
  </x:si>
  <x:si>
    <x:t xml:space="preserve">1.01E-14</x:t>
  </x:si>
  <x:si>
    <x:t xml:space="preserve">2025-02-26 20:41:06</x:t>
  </x:si>
  <x:si>
    <x:t xml:space="preserve">㉾ ՈՖՖռՀԱՆՍ ㉾</x:t>
  </x:si>
  <x:si>
    <x:t xml:space="preserve">LUKE ㉾</x:t>
  </x:si>
  <x:si>
    <x:t xml:space="preserve">㉾ Ֆէտէրալ Ւիսա Բրոկրամ ㉾</x:t>
  </x:si>
  <x:si>
    <x:t xml:space="preserve">V㉾SA</x:t>
  </x:si>
  <x:si>
    <x:t xml:space="preserve">2025-02-26 13:12:52</x:t>
  </x:si>
  <x:si>
    <x:t xml:space="preserve">Keith Richards Coin</x:t>
  </x:si>
  <x:si>
    <x:t xml:space="preserve">MONBIOT</x:t>
  </x:si>
  <x:si>
    <x:t xml:space="preserve">2025-02-26 20:41:29</x:t>
  </x:si>
  <x:si>
    <x:t xml:space="preserve">Mike Connell Coin</x:t>
  </x:si>
  <x:si>
    <x:t xml:space="preserve">2600 ㉾</x:t>
  </x:si>
  <x:si>
    <x:t xml:space="preserve">2025-02-26 13:12:53</x:t>
  </x:si>
  <x:si>
    <x:t xml:space="preserve">Most People Don't Know Voltaire, Niguh</x:t>
  </x:si>
  <x:si>
    <x:t xml:space="preserve">Voltaire ㉾</x:t>
  </x:si>
  <x:si>
    <x:t xml:space="preserve">2025-02-26 20:45:14</x:t>
  </x:si>
  <x:si>
    <x:t xml:space="preserve">H༥X</x:t>
  </x:si>
  <x:si>
    <x:t xml:space="preserve">H༥X ㉾</x:t>
  </x:si>
  <x:si>
    <x:t xml:space="preserve">651</x:t>
  </x:si>
  <x:si>
    <x:t xml:space="preserve">Last Push (UTC): 2025-02-27 14:50:35 </x:t>
  </x:si>
  <x:si>
    <x:t xml:space="preserve">Total Cells: 8610 </x:t>
  </x:si>
  <x:si>
    <x:t xml:space="preserve">Last Block: 22819444 </x:t>
  </x:si>
  <x:si>
    <x:t xml:space="preserve">Furthest Block Deployer: 22819444 </x:t>
  </x:si>
  <x:si>
    <x:t xml:space="preserve">Furthest Block TX: 22819444 </x:t>
  </x:si>
  <x:si>
    <x:t xml:space="preserve">Deployers: 292 </x:t>
  </x:si>
  <x:si>
    <x:t xml:space="preserve">Tokens: 292 </x:t>
  </x:si>
  <x:si>
    <x:t xml:space="preserve">Tokens Ready: 292 </x:t>
  </x:si>
  <x:si>
    <x:t xml:space="preserve">Tokens Processing: 0 </x:t>
  </x:si>
  <x:si>
    <x:t xml:space="preserve">You agree by using these spreadsheets you will only blame yourself if you get rugged or rekt. </x:t>
  </x:si>
  <x:si>
    <x:t xml:space="preserve">Columns G-O are tinted grey if the token contract is not within 60 blocks of scanning every tx.</x:t>
  </x:si>
  <x:si>
    <x:t xml:space="preserve">You can always refer to the STATS page to get an overview of the progress.</x:t>
  </x:si>
  <x:si>
    <x:t xml:space="preserve">Volume and Liquidity are limited to the total liquidity pools given back by DEX Screener's Basic API.</x:t>
  </x:si>
  <x:si>
    <x:t xml:space="preserve">It might not reflect full/accurate values or may fluctuate wildly if the token has many pairs.</x:t>
  </x:si>
  <x:si>
    <x:t xml:space="preserve">If you would like to get in touch, visit: </x:t>
  </x:si>
  <x:si>
    <x:t xml:space="preserve">More ecosystems to explore: </x:t>
  </x:si>
</x:sst>
</file>

<file path=xl/styles.xml><?xml version="1.0" encoding="utf-8"?>
<x:styleSheet xmlns:x="http://schemas.openxmlformats.org/spreadsheetml/2006/main">
  <x:numFmts count="5">
    <x:numFmt numFmtId="164" formatCode="##################0.00################"/>
    <x:numFmt numFmtId="165" formatCode="##################0.00"/>
    <x:numFmt numFmtId="166" formatCode="[Color10]0.00%;[Color 9]-0.00%;0.00%"/>
    <x:numFmt numFmtId="200" formatCode="0.0000x"/>
    <x:numFmt numFmtId="201" formatCode="#,##0.000000"/>
  </x:numFmts>
  <x:fonts count="13">
    <x:font>
      <x:sz val="10"/>
      <x:color rgb="FF000000"/>
      <x:name val="Arial"/>
    </x:font>
    <x:font>
      <x:b/>
      <x:name val="Arial"/>
    </x:font>
    <x:font>
      <x:name val="Arial"/>
    </x:font>
    <x:font>
      <x:color rgb="FF0000FF"/>
      <x:name val="Courier New"/>
    </x:font>
    <x:font>
      <x:color rgb="FF0000FF"/>
    </x:font>
    <x:font>
      <x:color rgb="FF0000FF"/>
      <x:name val="Courier New"/>
    </x:font>
    <x:font>
      <x:color rgb="FF0000FF"/>
    </x:font>
    <x:font>
      <x:name val="Courier New"/>
    </x:font>
    <x:font>
      <x:color rgb="FF0000FF"/>
      <x:name val="Courier New"/>
    </x:font>
    <x:font>
      <x:b/>
      <x:color rgb="FFFFFFFF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b/>
      <x:sz val="10"/>
      <x:color rgb="FF000000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30549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 applyFont="1" applyAlignment="1"/>
  </x:cellStyleXfs>
  <x:cellXfs count="77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center"/>
    </x:xf>
    <x:xf numFmtId="0" fontId="2" fillId="0" borderId="0" xfId="0" applyFont="1" applyAlignment="1">
      <x:alignment horizontal="right"/>
    </x:xf>
    <x:xf numFmtId="164" fontId="2" fillId="0" borderId="0" xfId="0" applyNumberFormat="1" applyFont="1" applyAlignment="1">
      <x:alignment horizontal="right"/>
    </x:xf>
    <x:xf numFmtId="165" fontId="2" fillId="0" borderId="0" xfId="0" applyNumberFormat="1" applyFont="1" applyAlignment="1">
      <x:alignment horizontal="right"/>
    </x:xf>
    <x:xf numFmtId="166" fontId="2" fillId="0" borderId="0" xfId="0" applyNumberFormat="1" applyFont="1" applyAlignment="1">
      <x:alignment horizontal="right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right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2" fillId="0" borderId="0" xfId="0" applyFont="1" applyAlignment="1">
      <x:alignment horizontal="center" vertical="center"/>
    </x:xf>
    <x:xf numFmtId="164" fontId="2" fillId="0" borderId="0" xfId="0" applyNumberFormat="1" applyFont="1" applyAlignment="1">
      <x:alignment horizontal="right" vertical="center"/>
    </x:xf>
    <x:xf numFmtId="165" fontId="2" fillId="0" borderId="0" xfId="0" applyNumberFormat="1" applyFont="1" applyAlignment="1">
      <x:alignment horizontal="right" vertical="center"/>
    </x:xf>
    <x:xf numFmtId="0" fontId="2" fillId="0" borderId="0" xfId="0" applyFont="1" applyAlignment="1">
      <x:alignment horizontal="center" vertical="center"/>
    </x:xf>
    <x:xf numFmtId="166" fontId="2" fillId="0" borderId="0" xfId="0" applyNumberFormat="1" applyFont="1" applyAlignment="1">
      <x:alignment horizontal="right" vertical="center"/>
    </x:xf>
    <x:xf numFmtId="0" fontId="2" fillId="0" borderId="0" xfId="0" applyFont="1" applyAlignment="1">
      <x:alignment horizontal="right" vertical="center"/>
    </x:xf>
    <x:xf numFmtId="0" fontId="2" fillId="0" borderId="0" xfId="0" applyFont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0" fontId="7" fillId="0" borderId="0" xfId="0" applyFont="1"/>
    <x:xf numFmtId="166" fontId="2" fillId="0" borderId="0" xfId="0" applyNumberFormat="1" applyFont="1"/>
    <x:xf numFmtId="0" fontId="8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right"/>
    </x:xf>
    <x:xf numFmtId="164" fontId="2" fillId="0" borderId="0" xfId="0" applyNumberFormat="1" applyFont="1" applyFill="1" applyBorder="1" applyAlignment="1">
      <x:alignment horizontal="right"/>
    </x:xf>
    <x:xf numFmtId="165" fontId="2" fillId="0" borderId="0" xfId="0" applyNumberFormat="1" applyFont="1" applyFill="1" applyBorder="1" applyAlignment="1">
      <x:alignment horizontal="right"/>
    </x:xf>
    <x:xf numFmtId="166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center" vertical="center"/>
    </x:xf>
    <x:xf numFmtId="164" fontId="2" fillId="0" borderId="0" xfId="0" applyNumberFormat="1" applyFont="1" applyFill="1" applyBorder="1" applyAlignment="1">
      <x:alignment horizontal="right" vertical="center"/>
    </x:xf>
    <x:xf numFmtId="165" fontId="2" fillId="0" borderId="0" xfId="0" applyNumberFormat="1" applyFont="1" applyFill="1" applyBorder="1" applyAlignment="1">
      <x:alignment horizontal="right" vertical="center"/>
    </x:xf>
    <x:xf numFmtId="166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0" fontId="7" fillId="0" borderId="0" xfId="0" applyNumberFormat="1" applyFont="1" applyFill="1" applyBorder="1"/>
    <x:xf numFmtId="166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bottom" wrapText="0"/>
    </x:xf>
    <x:xf numFmtId="0" fontId="2" fillId="0" borderId="0" xfId="0" applyNumberFormat="1" applyFont="1" applyFill="1" applyBorder="1" applyAlignment="1">
      <x:alignment horizontal="center" wrapText="1"/>
    </x:xf>
    <x:xf numFmtId="200" fontId="2" fillId="0" borderId="0" xfId="0" applyNumberFormat="1" applyFont="1" applyFill="1" applyBorder="1" applyAlignment="1">
      <x:alignment horizont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1"/>
    </x:xf>
    <x:xf numFmtId="0" fontId="0" fillId="3" borderId="0" xfId="0" applyNumberFormat="1" applyFont="1" applyFill="1" applyBorder="1" applyAlignment="1">
      <x:alignment vertical="bottom" wrapText="0"/>
    </x:xf>
    <x:xf numFmtId="0" fontId="10" fillId="3" borderId="0" xfId="0" applyNumberFormat="1" applyFont="1" applyFill="1" applyBorder="1" applyAlignment="1">
      <x:alignment vertical="bottom" wrapText="0"/>
    </x:xf>
    <x:xf numFmtId="0" fontId="10" fillId="3" borderId="0" xfId="0" applyNumberFormat="1" applyFont="1" applyFill="1" applyBorder="1" applyAlignment="1">
      <x:alignment vertical="bottom" wrapText="1"/>
    </x:xf>
    <x:xf numFmtId="0" fontId="10" fillId="3" borderId="0" xfId="0" applyNumberFormat="1" applyFont="1" applyFill="1" applyBorder="1" applyAlignment="1">
      <x:alignment horizontal="center" vertical="bottom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bottom" wrapText="1"/>
    </x:xf>
    <x:xf numFmtId="0" fontId="11" fillId="3" borderId="0" xfId="0" applyNumberFormat="1" applyFont="1" applyFill="1" applyBorder="1" applyAlignment="1">
      <x:alignment vertical="bottom" wrapText="0"/>
    </x:xf>
    <x:xf numFmtId="0" fontId="11" fillId="3" borderId="0" xfId="0" applyNumberFormat="1" applyFont="1" applyFill="1" applyBorder="1" applyAlignment="1">
      <x:alignment horizontal="center" vertical="bottom" wrapText="0"/>
    </x:xf>
    <x:xf numFmtId="0" fontId="0" fillId="4" borderId="0" xfId="0" applyNumberFormat="1" applyFont="1" applyFill="1" applyBorder="1" applyAlignment="1">
      <x:alignment vertical="bottom" wrapText="0"/>
    </x:xf>
    <x:xf numFmtId="0" fontId="12" fillId="4" borderId="0" xfId="0" applyNumberFormat="1" applyFont="1" applyFill="1" applyBorder="1" applyAlignment="1">
      <x:alignment vertical="bottom" wrapText="0"/>
    </x:xf>
    <x:xf numFmtId="0" fontId="12" fillId="4" borderId="0" xfId="0" applyNumberFormat="1" applyFont="1" applyFill="1" applyBorder="1" applyAlignment="1">
      <x:alignment vertical="top" wrapText="0"/>
    </x:xf>
    <x:xf numFmtId="0" fontId="11" fillId="3" borderId="0" xfId="0" applyNumberFormat="1" applyFont="1" applyFill="1" applyBorder="1" applyAlignment="1">
      <x:alignment horizontal="center" vertical="bottom" wrapText="1"/>
    </x:xf>
    <x:xf numFmtId="0" fontId="0" fillId="5" borderId="0" xfId="0" applyNumberFormat="1" applyFont="1" applyFill="1" applyBorder="1" applyAlignment="1">
      <x:alignment vertical="bottom" wrapText="0"/>
    </x:xf>
    <x:xf numFmtId="0" fontId="12" fillId="5" borderId="0" xfId="0" applyNumberFormat="1" applyFont="1" applyFill="1" applyBorder="1" applyAlignment="1">
      <x:alignment vertical="bottom" wrapText="0"/>
    </x:xf>
    <x:xf numFmtId="0" fontId="12" fillId="5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21b37417c4367" /><Relationship Type="http://schemas.openxmlformats.org/officeDocument/2006/relationships/theme" Target="/xl/theme/theme1.xml" Id="R47b8ab58a32e4b59" /><Relationship Type="http://schemas.openxmlformats.org/officeDocument/2006/relationships/sharedStrings" Target="/xl/sharedStrings.xml" Id="R2ce7758070b44a7c" /><Relationship Type="http://schemas.openxmlformats.org/officeDocument/2006/relationships/worksheet" Target="/xl/worksheets/sheet1.xml" Id="R888052b014ab4237" /><Relationship Type="http://schemas.openxmlformats.org/officeDocument/2006/relationships/worksheet" Target="/xl/worksheets/sheet2.xml" Id="R94a27fd1c4724266" /><Relationship Type="http://schemas.openxmlformats.org/officeDocument/2006/relationships/worksheet" Target="/xl/worksheets/sheet3.xml" Id="Rfbe57c4b3dd84a01" /><Relationship Type="http://schemas.openxmlformats.org/officeDocument/2006/relationships/worksheet" Target="/xl/worksheets/sheet4.xml" Id="R1d065a95e59f40e4" /><Relationship Type="http://schemas.openxmlformats.org/officeDocument/2006/relationships/worksheet" Target="/xl/worksheets/sheet5.xml" Id="R0bb1f622009c4e39" /><Relationship Type="http://schemas.openxmlformats.org/officeDocument/2006/relationships/worksheet" Target="/xl/worksheets/sheet6.xml" Id="Rae258ec5bf2b46e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2" width="23" customWidth="1"/>
    <x:col min="3" max="3" width="43.25" customWidth="1"/>
    <x:col min="4" max="5" width="16.3799991607666" customWidth="1"/>
    <x:col min="6" max="6" width="18.1299991607666" customWidth="1"/>
    <x:col min="7" max="11" width="21" customWidth="1"/>
    <x:col min="12" max="15" width="18" customWidth="1"/>
    <x:col min="16" max="21" width="16.75" customWidth="1"/>
    <x:col min="22" max="25" width="15.75" customWidth="1"/>
    <x:col min="26" max="26" width="18.25" customWidth="1"/>
    <x:col min="27" max="34" width="12.630000114440918" customWidth="1"/>
    <x:col min="27" max="27" width="28" hidden="0" customWidth="1"/>
    <x:col min="28" max="28" width="20" hidden="0" customWidth="1"/>
    <x:col min="29" max="29" width="16" hidden="0" customWidth="1"/>
    <x:col min="30" max="30" width="28" hidden="0" customWidth="1"/>
    <x:col min="31" max="31" width="28" hidden="0" customWidth="1"/>
    <x:col min="32" max="32" width="28" hidden="0" customWidth="1"/>
  </x:cols>
  <x:sheetData>
    <x:row r="1" ht="15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53" t="str">
        <x:v>Live Pull Status</x:v>
      </x:c>
      <x:c r="AB1" s="53" t="str">
        <x:v>Supply Growth vs Initial</x:v>
      </x:c>
      <x:c r="AC1" s="53" t="str">
        <x:v>Registry count()</x:v>
      </x:c>
      <x:c r="AD1" s="53" t="str">
        <x:v>Registered Pairs</x:v>
      </x:c>
      <x:c r="AE1" s="53" t="str">
        <x:v>Deepest Pair</x:v>
      </x:c>
      <x:c r="AF1" s="53" t="str">
        <x:v>Pull Errors</x:v>
      </x:c>
      <x:c r="AG1" s="1"/>
      <x:c r="AH1" s="1"/>
    </x:row>
    <x:row r="2" ht="15.75" customHeight="1">
      <x:c r="A2" s="2" t="s">
        <x:v>26</x:v>
      </x:c>
      <x:c r="B2" s="2" t="s">
        <x:v>27</x:v>
      </x:c>
      <x:c r="C2" s="3" t="e">
        <x:f>HYPERLINK("https://scan.mypinata.cloud/ipfs/bafybeih3olry3is4e4lzm7rus5l3h6zrphcal5a7ayfkhzm5oivjro2cp4/#/address/0xCc78A0acDF847A2C1714D2A925bB4477df5d48a6", "0xCc78A0acDF847A2C1714D2A925bB4477df5d48a6")</x:f>
      </x:c>
      <x:c r="D2" s="4" t="e">
        <x:f t="shared" ref="D2:D95" si="1">HYPERLINK("https://scan.mypinata.cloud/ipfs/bafybeih3olry3is4e4lzm7rus5l3h6zrphcal5a7ayfkhzm5oivjro2cp4/#/address/0x7a20189B297343CF26d8548764b04891f37F3414", "Atropa Dev")</x:f>
      </x:c>
      <x:c r="E2" s="4" t="e">
        <x:f>HYPERLINK("https://scan.mypinata.cloud/ipfs/bafybeih3olry3is4e4lzm7rus5l3h6zrphcal5a7ayfkhzm5oivjro2cp4/#/block/17384840", "17384840")</x:f>
      </x:c>
      <x:c r="F2" s="4" t="e">
        <x:f>HYPERLINK("https://scan.mypinata.cloud/ipfs/bafybeih3olry3is4e4lzm7rus5l3h6zrphcal5a7ayfkhzm5oivjro2cp4/#/tx/0x488d9b615ab24c50777ce77f7375e0f539d8e4aca7a59f77f34818eddc34ef17", "2023-05-28 20:50:45")</x:f>
      </x:c>
      <x:c r="G2" s="5">
        <x:v>1.111111111E9</x:v>
      </x:c>
      <x:c r="H2" s="5">
        <x:v>1.1111110646419876E9</x:v>
      </x:c>
      <x:c r="I2" s="5">
        <x:v>1.1099428485171423E9</x:v>
      </x:c>
      <x:c r="J2" s="5">
        <x:v>0.0</x:v>
      </x:c>
      <x:c r="K2" s="5">
        <x:v>1168262.482857793</x:v>
      </x:c>
      <x:c r="L2" s="2" t="s">
        <x:v>28</x:v>
      </x:c>
      <x:c r="M2" s="4" t="e">
        <x:f>HYPERLINK("https://scan.mypinata.cloud/ipfs/bafybeih3olry3is4e4lzm7rus5l3h6zrphcal5a7ayfkhzm5oivjro2cp4/#/tx/0x44f0669ac10e9712c3eb09b436b44dfbc84a2a8c07adb692407a0740fb0202e4", "2025-02-27 11:49:05")</x:f>
      </x:c>
      <x:c r="N2" s="2" t="e">
        <x:f>IFERROR(__xludf.DUMMYFUNCTION("IF(ISDATE(TO_DATE(L2)), MAX(0, ROUND(TODAY() - TO_DATE(L2)), 0), ""-"")"),"-")</x:f>
      </x:c>
      <x:c r="O2" s="2" t="e">
        <x:f>IFERROR(__xludf.DUMMYFUNCTION("IF(ISDATE(TO_DATE(M2)), MAX(0, ROUND(TODAY() - TO_DATE(M2)), 0), ""-"")"),491.0)</x:f>
      </x:c>
      <x:c r="P2" s="6">
        <x:v>0.05011</x:v>
      </x:c>
      <x:c r="Q2" s="6">
        <x:v>1246.8713</x:v>
      </x:c>
      <x:c r="R2" s="7">
        <x:v>5.5677775449209996E7</x:v>
      </x:c>
      <x:c r="S2" s="7">
        <x:v>5.563727E7</x:v>
      </x:c>
      <x:c r="T2" s="7">
        <x:v>205456.16999999998</x:v>
      </x:c>
      <x:c r="U2" s="7">
        <x:v>7.036961231000002E7</x:v>
      </x:c>
      <x:c r="V2" s="8" t="n">
        <x:f t="array" ref="V2">-0.18%</x:f>
        <x:v>-0.0018</x:v>
      </x:c>
      <x:c r="W2" s="8" t="n">
        <x:f t="array" ref="W2">-0.12%</x:f>
        <x:v>-0.0012</x:v>
      </x:c>
      <x:c r="X2" s="8" t="n">
        <x:f t="array" ref="X2">-2.34%</x:f>
        <x:v>-0.023399999999999997</x:v>
      </x:c>
      <x:c r="Y2" s="8" t="n">
        <x:f t="array" ref="Y2">-0.22%</x:f>
        <x:v>-0.0022</x:v>
      </x:c>
      <x:c r="Z2" s="9" t="s">
        <x:v>29</x:v>
      </x:c>
      <x:c r="AA2" s="57" t="str">
        <x:v>Snapshot only — run GitHub workflow</x:v>
      </x:c>
      <x:c r="AB2" s="58" t="n">
        <x:f>IFERROR(H2/G2,"")</x:f>
        <x:v>0.9999999582777888</x:v>
      </x:c>
      <x:c r="AC2" s="57" t="str"/>
      <x:c r="AD2" s="57" t="str"/>
      <x:c r="AE2" s="57" t="str"/>
      <x:c r="AF2" s="57" t="str"/>
      <x:c r="AG2" s="2"/>
      <x:c r="AH2" s="2"/>
    </x:row>
    <x:row r="3" ht="15.75" customHeight="1">
      <x:c r="A3" s="2" t="s">
        <x:v>30</x:v>
      </x:c>
      <x:c r="B3" s="2" t="s">
        <x:v>30</x:v>
      </x:c>
      <x:c r="C3" s="3" t="e">
        <x:f>HYPERLINK("https://scan.mypinata.cloud/ipfs/bafybeih3olry3is4e4lzm7rus5l3h6zrphcal5a7ayfkhzm5oivjro2cp4/#/address/0x2556F7f8d82EbcdD7b821b0981C38D9dA9439CdD", "0x2556F7f8d82EbcdD7b821b0981C38D9dA9439CdD")</x:f>
      </x:c>
      <x:c r="D3" s="4" t="str">
        <x:f t="shared" si="1"/>
        <x:v>Atropa Dev</x:v>
      </x:c>
      <x:c r="E3" s="4" t="e">
        <x:f>HYPERLINK("https://scan.mypinata.cloud/ipfs/bafybeih3olry3is4e4lzm7rus5l3h6zrphcal5a7ayfkhzm5oivjro2cp4/#/block/17399011", "17399011")</x:f>
      </x:c>
      <x:c r="F3" s="4" t="e">
        <x:f>HYPERLINK("https://scan.mypinata.cloud/ipfs/bafybeih3olry3is4e4lzm7rus5l3h6zrphcal5a7ayfkhzm5oivjro2cp4/#/tx/0x19db0b54a9e5cc807dbb8ad990f08f1a6951652b5bc994e3daf36275e11fc39a", "2023-05-30 12:34:05")</x:f>
      </x:c>
      <x:c r="G3" s="5">
        <x:v>1.111111111E9</x:v>
      </x:c>
      <x:c r="H3" s="5">
        <x:v>1.111111111E9</x:v>
      </x:c>
      <x:c r="I3" s="5">
        <x:v>1.1111087180215712E9</x:v>
      </x:c>
      <x:c r="J3" s="5">
        <x:v>0.0</x:v>
      </x:c>
      <x:c r="K3" s="5">
        <x:v>2392.9784288670844</x:v>
      </x:c>
      <x:c r="L3" s="2" t="s">
        <x:v>28</x:v>
      </x:c>
      <x:c r="M3" s="4" t="e">
        <x:f>HYPERLINK("https://scan.mypinata.cloud/ipfs/bafybeih3olry3is4e4lzm7rus5l3h6zrphcal5a7ayfkhzm5oivjro2cp4/#/tx/0x2ba2f0ba82f977d05ee0b5d9f140d4accaa81d3750de6009916e8ad3a771f8c8", "2025-02-11 16:12:05")</x:f>
      </x:c>
      <x:c r="N3" s="2" t="e">
        <x:f>IFERROR(__xludf.DUMMYFUNCTION("IF(ISDATE(TO_DATE(L3)), MAX(0, ROUND(TODAY() - TO_DATE(L3)), 0), ""-"")"),"-")</x:f>
      </x:c>
      <x:c r="O3" s="2" t="e">
        <x:f>IFERROR(__xludf.DUMMYFUNCTION("IF(ISDATE(TO_DATE(M3)), MAX(0, ROUND(TODAY() - TO_DATE(M3)), 0), ""-"")"),506.0)</x:f>
      </x:c>
      <x:c r="P3" s="6">
        <x:v>0.009141</x:v>
      </x:c>
      <x:c r="Q3" s="6">
        <x:v>230.8247</x:v>
      </x:c>
      <x:c r="R3" s="7">
        <x:v>1.0156666665651E7</x:v>
      </x:c>
      <x:c r="S3" s="7">
        <x:v>1.0157402E7</x:v>
      </x:c>
      <x:c r="T3" s="7">
        <x:v>23485.88</x:v>
      </x:c>
      <x:c r="U3" s="7">
        <x:v>1.6679106770000001E7</x:v>
      </x:c>
      <x:c r="V3" s="8" t="n">
        <x:f t="array" ref="V3">-0.37%</x:f>
        <x:v>-0.0037</x:v>
      </x:c>
      <x:c r="W3" s="8" t="n">
        <x:f t="array" ref="W3">0.16%</x:f>
        <x:v>0.0016</x:v>
      </x:c>
      <x:c r="X3" s="8" t="n">
        <x:f t="array" ref="X3">-3.57%</x:f>
        <x:v>-0.035699999999999996</x:v>
      </x:c>
      <x:c r="Y3" s="8" t="n">
        <x:f t="array" ref="Y3">-4.09%</x:f>
        <x:v>-0.0409</x:v>
      </x:c>
      <x:c r="Z3" s="9" t="s">
        <x:v>31</x:v>
      </x:c>
      <x:c r="AA3" s="57" t="str">
        <x:v>Snapshot only — run GitHub workflow</x:v>
      </x:c>
      <x:c r="AB3" s="58" t="n">
        <x:f>IFERROR(H3/G3,"")</x:f>
        <x:v>1</x:v>
      </x:c>
      <x:c r="AC3" s="57" t="str"/>
      <x:c r="AD3" s="57" t="str"/>
      <x:c r="AE3" s="57" t="str"/>
      <x:c r="AF3" s="57" t="str"/>
      <x:c r="AG3" s="2"/>
      <x:c r="AH3" s="2"/>
    </x:row>
    <x:row r="4" ht="15.75" customHeight="1">
      <x:c r="A4" s="2" t="s">
        <x:v>32</x:v>
      </x:c>
      <x:c r="B4" s="2" t="s">
        <x:v>32</x:v>
      </x:c>
      <x:c r="C4" s="3" t="e">
        <x:f>HYPERLINK("https://scan.mypinata.cloud/ipfs/bafybeih3olry3is4e4lzm7rus5l3h6zrphcal5a7ayfkhzm5oivjro2cp4/#/address/0x4243568Fa2bbad327ee36e06c16824cAd8B37819", "0x4243568Fa2bbad327ee36e06c16824cAd8B37819")</x:f>
      </x:c>
      <x:c r="D4" s="4" t="str">
        <x:f t="shared" si="1"/>
        <x:v>Atropa Dev</x:v>
      </x:c>
      <x:c r="E4" s="4" t="e">
        <x:f>HYPERLINK("https://scan.mypinata.cloud/ipfs/bafybeih3olry3is4e4lzm7rus5l3h6zrphcal5a7ayfkhzm5oivjro2cp4/#/block/17399631", "17399631")</x:f>
      </x:c>
      <x:c r="F4" s="4" t="e">
        <x:f>HYPERLINK("https://scan.mypinata.cloud/ipfs/bafybeih3olry3is4e4lzm7rus5l3h6zrphcal5a7ayfkhzm5oivjro2cp4/#/tx/0x0c7612c9848e79f49aabf4ef0fe9ef24de3781f0e8e60c502b35dd0fbe99cd26", "2023-05-30 14:18:15")</x:f>
      </x:c>
      <x:c r="G4" s="5">
        <x:v>1110313.0</x:v>
      </x:c>
      <x:c r="H4" s="5">
        <x:v>1110313.0</x:v>
      </x:c>
      <x:c r="I4" s="5">
        <x:v>1108855.5740590363</x:v>
      </x:c>
      <x:c r="J4" s="5">
        <x:v>0.0</x:v>
      </x:c>
      <x:c r="K4" s="5">
        <x:v>1457.4259409635013</x:v>
      </x:c>
      <x:c r="L4" s="2" t="s">
        <x:v>28</x:v>
      </x:c>
      <x:c r="M4" s="4" t="e">
        <x:f>HYPERLINK("https://scan.mypinata.cloud/ipfs/bafybeih3olry3is4e4lzm7rus5l3h6zrphcal5a7ayfkhzm5oivjro2cp4/#/tx/0x7229dc1070dd9ff9c2b3c6743b1f133d2c1d6a56f99252945dd191d11030b85b", "2025-02-27 04:49:25")</x:f>
      </x:c>
      <x:c r="N4" s="2" t="e">
        <x:f>IFERROR(__xludf.DUMMYFUNCTION("IF(ISDATE(TO_DATE(L4)), MAX(0, ROUND(TODAY() - TO_DATE(L4)), 0), ""-"")"),"-")</x:f>
      </x:c>
      <x:c r="O4" s="2" t="e">
        <x:f>IFERROR(__xludf.DUMMYFUNCTION("IF(ISDATE(TO_DATE(M4)), MAX(0, ROUND(TODAY() - TO_DATE(M4)), 0), ""-"")"),491.0)</x:f>
      </x:c>
      <x:c r="P4" s="6">
        <x:v>2.23</x:v>
      </x:c>
      <x:c r="Q4" s="6">
        <x:v>56182.8639</x:v>
      </x:c>
      <x:c r="R4" s="7">
        <x:v>2475997.99</x:v>
      </x:c>
      <x:c r="S4" s="7">
        <x:v>2480217.0</x:v>
      </x:c>
      <x:c r="T4" s="7">
        <x:v>12660.729999999996</x:v>
      </x:c>
      <x:c r="U4" s="7">
        <x:v>1569423.5899999999</x:v>
      </x:c>
      <x:c r="V4" s="2" t="s">
        <x:v>28</x:v>
      </x:c>
      <x:c r="W4" s="2" t="s">
        <x:v>28</x:v>
      </x:c>
      <x:c r="X4" s="2" t="s">
        <x:v>28</x:v>
      </x:c>
      <x:c r="Y4" s="2" t="s">
        <x:v>28</x:v>
      </x:c>
      <x:c r="Z4" s="9" t="s">
        <x:v>33</x:v>
      </x:c>
      <x:c r="AA4" s="57" t="str">
        <x:v>Snapshot only — run GitHub workflow</x:v>
      </x:c>
      <x:c r="AB4" s="58" t="n">
        <x:f>IFERROR(H4/G4,"")</x:f>
        <x:v>1</x:v>
      </x:c>
      <x:c r="AC4" s="57" t="str"/>
      <x:c r="AD4" s="57" t="str"/>
      <x:c r="AE4" s="57" t="str"/>
      <x:c r="AF4" s="57" t="str"/>
      <x:c r="AG4" s="2"/>
      <x:c r="AH4" s="2"/>
    </x:row>
    <x:row r="5" ht="15.75" customHeight="1">
      <x:c r="A5" s="2" t="s">
        <x:v>34</x:v>
      </x:c>
      <x:c r="B5" s="2" t="s">
        <x:v>35</x:v>
      </x:c>
      <x:c r="C5" s="3" t="e">
        <x:f>HYPERLINK("https://scan.mypinata.cloud/ipfs/bafybeih3olry3is4e4lzm7rus5l3h6zrphcal5a7ayfkhzm5oivjro2cp4/#/address/0x347BC40503E0CE23fE0F5587F232Cd2D07D4Eb89", "0x347BC40503E0CE23fE0F5587F232Cd2D07D4Eb89")</x:f>
      </x:c>
      <x:c r="D5" s="4" t="str">
        <x:f t="shared" si="1"/>
        <x:v>Atropa Dev</x:v>
      </x:c>
      <x:c r="E5" s="4" t="e">
        <x:f>HYPERLINK("https://scan.mypinata.cloud/ipfs/bafybeih3olry3is4e4lzm7rus5l3h6zrphcal5a7ayfkhzm5oivjro2cp4/#/block/17399792", "17399792")</x:f>
      </x:c>
      <x:c r="F5" s="4" t="e">
        <x:f>HYPERLINK("https://scan.mypinata.cloud/ipfs/bafybeih3olry3is4e4lzm7rus5l3h6zrphcal5a7ayfkhzm5oivjro2cp4/#/tx/0xb7daef6459ad460f4dadbb5242fb3ed06743049adc2e34350895fa29d0cf80af", "2023-05-30 14:45:25")</x:f>
      </x:c>
      <x:c r="G5" s="5">
        <x:v>132.0</x:v>
      </x:c>
      <x:c r="H5" s="5">
        <x:v>132.0</x:v>
      </x:c>
      <x:c r="I5" s="5">
        <x:v>132.0</x:v>
      </x:c>
      <x:c r="J5" s="5">
        <x:v>0.0</x:v>
      </x:c>
      <x:c r="K5" s="5">
        <x:v>0.0</x:v>
      </x:c>
      <x:c r="L5" s="2" t="s">
        <x:v>28</x:v>
      </x:c>
      <x:c r="M5" s="2" t="s">
        <x:v>28</x:v>
      </x:c>
      <x:c r="N5" s="2" t="e">
        <x:f>IFERROR(__xludf.DUMMYFUNCTION("IF(ISDATE(TO_DATE(L5)), MAX(0, ROUND(TODAY() - TO_DATE(L5)), 0), ""-"")"),"-")</x:f>
      </x:c>
      <x:c r="O5" s="2" t="e">
        <x:f>IFERROR(__xludf.DUMMYFUNCTION("IF(ISDATE(TO_DATE(M5)), MAX(0, ROUND(TODAY() - TO_DATE(M5)), 0), ""-"")"),"-")</x:f>
      </x:c>
      <x:c r="P5" s="6">
        <x:v>6137.78</x:v>
      </x:c>
      <x:c r="Q5" s="6">
        <x:v>1.550017979446E8</x:v>
      </x:c>
      <x:c r="R5" s="7">
        <x:v>810186.96</x:v>
      </x:c>
      <x:c r="S5" s="7">
        <x:v>810188.0</x:v>
      </x:c>
      <x:c r="T5" s="7">
        <x:v>782.7</x:v>
      </x:c>
      <x:c r="U5" s="7">
        <x:v>19327.670000000002</x:v>
      </x:c>
      <x:c r="V5" s="2" t="s">
        <x:v>28</x:v>
      </x:c>
      <x:c r="W5" s="2" t="s">
        <x:v>28</x:v>
      </x:c>
      <x:c r="X5" s="2" t="s">
        <x:v>28</x:v>
      </x:c>
      <x:c r="Y5" s="2" t="s">
        <x:v>28</x:v>
      </x:c>
      <x:c r="Z5" s="9" t="s">
        <x:v>36</x:v>
      </x:c>
      <x:c r="AA5" s="57" t="str">
        <x:v>Snapshot only — run GitHub workflow</x:v>
      </x:c>
      <x:c r="AB5" s="58" t="n">
        <x:f>IFERROR(H5/G5,"")</x:f>
        <x:v>1</x:v>
      </x:c>
      <x:c r="AC5" s="57" t="str"/>
      <x:c r="AD5" s="57" t="str"/>
      <x:c r="AE5" s="57" t="str"/>
      <x:c r="AF5" s="57" t="str"/>
      <x:c r="AG5" s="2"/>
      <x:c r="AH5" s="2"/>
    </x:row>
    <x:row r="6" ht="15.75" customHeight="1">
      <x:c r="A6" s="2" t="s">
        <x:v>37</x:v>
      </x:c>
      <x:c r="B6" s="2" t="s">
        <x:v>37</x:v>
      </x:c>
      <x:c r="C6" s="3" t="e">
        <x:f>HYPERLINK("https://scan.mypinata.cloud/ipfs/bafybeih3olry3is4e4lzm7rus5l3h6zrphcal5a7ayfkhzm5oivjro2cp4/#/address/0x271197EFe41073681577CdbBFD6Ee1DA259BAa3c", "0x271197EFe41073681577CdbBFD6Ee1DA259BAa3c")</x:f>
      </x:c>
      <x:c r="D6" s="4" t="str">
        <x:f t="shared" si="1"/>
        <x:v>Atropa Dev</x:v>
      </x:c>
      <x:c r="E6" s="4" t="e">
        <x:f>HYPERLINK("https://scan.mypinata.cloud/ipfs/bafybeih3olry3is4e4lzm7rus5l3h6zrphcal5a7ayfkhzm5oivjro2cp4/#/block/17400079", "17400079")</x:f>
      </x:c>
      <x:c r="F6" s="4" t="e">
        <x:f>HYPERLINK("https://scan.mypinata.cloud/ipfs/bafybeih3olry3is4e4lzm7rus5l3h6zrphcal5a7ayfkhzm5oivjro2cp4/#/tx/0x19672227cbddad0f5790514e9ef6433c34907873e7f3b73d46ccf4554366096b", "2023-05-30 15:34:55")</x:f>
      </x:c>
      <x:c r="G6" s="5">
        <x:v>1.1311112111E10</x:v>
      </x:c>
      <x:c r="H6" s="5">
        <x:v>1.1311112111E10</x:v>
      </x:c>
      <x:c r="I6" s="5">
        <x:v>1.1311112111E10</x:v>
      </x:c>
      <x:c r="J6" s="5">
        <x:v>0.0</x:v>
      </x:c>
      <x:c r="K6" s="10" t="s">
        <x:v>38</x:v>
      </x:c>
      <x:c r="L6" s="2" t="s">
        <x:v>28</x:v>
      </x:c>
      <x:c r="M6" s="4" t="e">
        <x:f>HYPERLINK("https://scan.mypinata.cloud/ipfs/bafybeih3olry3is4e4lzm7rus5l3h6zrphcal5a7ayfkhzm5oivjro2cp4/#/tx/0x1ae0fdaf07403c006246509abb883d3a925c09b078916750603b241fe8c64248", "2023-09-29 21:04:15")</x:f>
      </x:c>
      <x:c r="N6" s="2" t="e">
        <x:f>IFERROR(__xludf.DUMMYFUNCTION("IF(ISDATE(TO_DATE(L6)), MAX(0, ROUND(TODAY() - TO_DATE(L6)), 0), ""-"")"),"-")</x:f>
      </x:c>
      <x:c r="O6" s="2" t="e">
        <x:f>IFERROR(__xludf.DUMMYFUNCTION("IF(ISDATE(TO_DATE(M6)), MAX(0, ROUND(TODAY() - TO_DATE(M6)), 0), ""-"")"),1007.0)</x:f>
      </x:c>
      <x:c r="P6" s="6">
        <x:v>4.74E-5</x:v>
      </x:c>
      <x:c r="Q6" s="6">
        <x:v>1.1728</x:v>
      </x:c>
      <x:c r="R6" s="7">
        <x:v>536146.7140614</x:v>
      </x:c>
      <x:c r="S6" s="7">
        <x:v>536222.0</x:v>
      </x:c>
      <x:c r="T6" s="7">
        <x:v>23.159999999999997</x:v>
      </x:c>
      <x:c r="U6" s="7">
        <x:v>964.02</x:v>
      </x:c>
      <x:c r="V6" s="2" t="s">
        <x:v>28</x:v>
      </x:c>
      <x:c r="W6" s="2" t="s">
        <x:v>28</x:v>
      </x:c>
      <x:c r="X6" s="2" t="s">
        <x:v>28</x:v>
      </x:c>
      <x:c r="Y6" s="2" t="s">
        <x:v>28</x:v>
      </x:c>
      <x:c r="Z6" s="9" t="s">
        <x:v>39</x:v>
      </x:c>
      <x:c r="AA6" s="57" t="str">
        <x:v>Snapshot only — run GitHub workflow</x:v>
      </x:c>
      <x:c r="AB6" s="58" t="n">
        <x:f>IFERROR(H6/G6,"")</x:f>
        <x:v>1</x:v>
      </x:c>
      <x:c r="AC6" s="57" t="str"/>
      <x:c r="AD6" s="57" t="str"/>
      <x:c r="AE6" s="57" t="str"/>
      <x:c r="AF6" s="57" t="str"/>
      <x:c r="AG6" s="2"/>
      <x:c r="AH6" s="2"/>
    </x:row>
    <x:row r="7" ht="15.75" customHeight="1">
      <x:c r="A7" s="2" t="s">
        <x:v>40</x:v>
      </x:c>
      <x:c r="B7" s="2" t="s">
        <x:v>40</x:v>
      </x:c>
      <x:c r="C7" s="3" t="e">
        <x:f>HYPERLINK("https://scan.mypinata.cloud/ipfs/bafybeih3olry3is4e4lzm7rus5l3h6zrphcal5a7ayfkhzm5oivjro2cp4/#/address/0x52a4682880E990ebed5309764C7BD29c4aE22deB", "0x52a4682880E990ebed5309764C7BD29c4aE22deB")</x:f>
      </x:c>
      <x:c r="D7" s="4" t="str">
        <x:f t="shared" si="1"/>
        <x:v>Atropa Dev</x:v>
      </x:c>
      <x:c r="E7" s="4" t="e">
        <x:f>HYPERLINK("https://scan.mypinata.cloud/ipfs/bafybeih3olry3is4e4lzm7rus5l3h6zrphcal5a7ayfkhzm5oivjro2cp4/#/block/17400290", "17400290")</x:f>
      </x:c>
      <x:c r="F7" s="4" t="e">
        <x:f>HYPERLINK("https://scan.mypinata.cloud/ipfs/bafybeih3olry3is4e4lzm7rus5l3h6zrphcal5a7ayfkhzm5oivjro2cp4/#/tx/0x172ea73e1652b8337c7b2c1aeacf9b07ca70bbd43056d74701ad3b511e4b67d0", "2023-05-30 16:10:35")</x:f>
      </x:c>
      <x:c r="G7" s="5">
        <x:v>1.1311112111E10</x:v>
      </x:c>
      <x:c r="H7" s="5">
        <x:v>1.1311112111E10</x:v>
      </x:c>
      <x:c r="I7" s="5">
        <x:v>1.1311112110999998E10</x:v>
      </x:c>
      <x:c r="J7" s="5">
        <x:v>0.0</x:v>
      </x:c>
      <x:c r="K7" s="10" t="s">
        <x:v>41</x:v>
      </x:c>
      <x:c r="L7" s="2" t="s">
        <x:v>28</x:v>
      </x:c>
      <x:c r="M7" s="4" t="e">
        <x:f>HYPERLINK("https://scan.mypinata.cloud/ipfs/bafybeih3olry3is4e4lzm7rus5l3h6zrphcal5a7ayfkhzm5oivjro2cp4/#/tx/0xd4413207a631176dc30e483f6484cebd9f3070f3100828cfdace561b8fd22ae6", "2024-02-14 19:20:55")</x:f>
      </x:c>
      <x:c r="N7" s="2" t="e">
        <x:f>IFERROR(__xludf.DUMMYFUNCTION("IF(ISDATE(TO_DATE(L7)), MAX(0, ROUND(TODAY() - TO_DATE(L7)), 0), ""-"")"),"-")</x:f>
      </x:c>
      <x:c r="O7" s="2" t="e">
        <x:f>IFERROR(__xludf.DUMMYFUNCTION("IF(ISDATE(TO_DATE(M7)), MAX(0, ROUND(TODAY() - TO_DATE(M7)), 0), ""-"")"),869.0)</x:f>
      </x:c>
      <x:c r="P7" s="6">
        <x:v>5.119E-5</x:v>
      </x:c>
      <x:c r="Q7" s="6">
        <x:v>1.2746</x:v>
      </x:c>
      <x:c r="R7" s="7">
        <x:v>579015.82896209</x:v>
      </x:c>
      <x:c r="S7" s="7">
        <x:v>579116.0</x:v>
      </x:c>
      <x:c r="T7" s="7">
        <x:v>1609.56</x:v>
      </x:c>
      <x:c r="U7" s="7">
        <x:v>97932.8</x:v>
      </x:c>
      <x:c r="V7" s="2" t="s">
        <x:v>28</x:v>
      </x:c>
      <x:c r="W7" s="2" t="s">
        <x:v>28</x:v>
      </x:c>
      <x:c r="X7" s="2" t="s">
        <x:v>28</x:v>
      </x:c>
      <x:c r="Y7" s="2" t="s">
        <x:v>28</x:v>
      </x:c>
      <x:c r="Z7" s="9" t="s">
        <x:v>42</x:v>
      </x:c>
      <x:c r="AA7" s="57" t="str">
        <x:v>Snapshot only — run GitHub workflow</x:v>
      </x:c>
      <x:c r="AB7" s="58" t="n">
        <x:f>IFERROR(H7/G7,"")</x:f>
        <x:v>1</x:v>
      </x:c>
      <x:c r="AC7" s="57" t="str"/>
      <x:c r="AD7" s="57" t="str"/>
      <x:c r="AE7" s="57" t="str"/>
      <x:c r="AF7" s="57" t="str"/>
      <x:c r="AG7" s="2"/>
      <x:c r="AH7" s="2"/>
    </x:row>
    <x:row r="8" ht="15.75" customHeight="1">
      <x:c r="A8" s="11" t="s">
        <x:v>43</x:v>
      </x:c>
      <x:c r="B8" s="11" t="s">
        <x:v>44</x:v>
      </x:c>
      <x:c r="C8" s="3" t="e">
        <x:f>HYPERLINK("https://scan.mypinata.cloud/ipfs/bafybeih3olry3is4e4lzm7rus5l3h6zrphcal5a7ayfkhzm5oivjro2cp4/#/address/0xA63F8061A67ecdbf147Cd1B60f91Cf95464E868D", "0xA63F8061A67ecdbf147Cd1B60f91Cf95464E868D")</x:f>
      </x:c>
      <x:c r="D8" s="4" t="str">
        <x:f t="shared" si="1"/>
        <x:v>Atropa Dev</x:v>
      </x:c>
      <x:c r="E8" s="4" t="e">
        <x:f>HYPERLINK("https://scan.mypinata.cloud/ipfs/bafybeih3olry3is4e4lzm7rus5l3h6zrphcal5a7ayfkhzm5oivjro2cp4/#/block/17407946", "17407946")</x:f>
      </x:c>
      <x:c r="F8" s="4" t="e">
        <x:f>HYPERLINK("https://scan.mypinata.cloud/ipfs/bafybeih3olry3is4e4lzm7rus5l3h6zrphcal5a7ayfkhzm5oivjro2cp4/#/tx/0x7464d596832f96035454a9ac7fde6e79017f0681d1f087ed5cf72ad3bef95170", "2023-05-31 13:55:25")</x:f>
      </x:c>
      <x:c r="G8" s="5">
        <x:v>3.1311113119E10</x:v>
      </x:c>
      <x:c r="H8" s="5">
        <x:v>3.1311113119E10</x:v>
      </x:c>
      <x:c r="I8" s="5">
        <x:v>3.13111130750043E10</x:v>
      </x:c>
      <x:c r="J8" s="5">
        <x:v>0.0</x:v>
      </x:c>
      <x:c r="K8" s="5">
        <x:v>43.99569827809473</x:v>
      </x:c>
      <x:c r="L8" s="2" t="s">
        <x:v>28</x:v>
      </x:c>
      <x:c r="M8" s="4" t="e">
        <x:f>HYPERLINK("https://scan.mypinata.cloud/ipfs/bafybeih3olry3is4e4lzm7rus5l3h6zrphcal5a7ayfkhzm5oivjro2cp4/#/tx/0x1eb3a7607e83ac68fb3abc8c01d9ab69bbe4b055815d2e1fa9c1a5fbd9fe38d7", "2025-02-27 12:37:25")</x:f>
      </x:c>
      <x:c r="N8" s="2" t="e">
        <x:f>IFERROR(__xludf.DUMMYFUNCTION("IF(ISDATE(TO_DATE(L8)), MAX(0, ROUND(TODAY() - TO_DATE(L8)), 0), ""-"")"),"-")</x:f>
      </x:c>
      <x:c r="O8" s="2" t="e">
        <x:f>IFERROR(__xludf.DUMMYFUNCTION("IF(ISDATE(TO_DATE(M8)), MAX(0, ROUND(TODAY() - TO_DATE(M8)), 0), ""-"")"),490.0)</x:f>
      </x:c>
      <x:c r="P8" s="6">
        <x:v>2.219E-5</x:v>
      </x:c>
      <x:c r="Q8" s="6">
        <x:v>0.5635</x:v>
      </x:c>
      <x:c r="R8" s="7">
        <x:v>694793.60011061</x:v>
      </x:c>
      <x:c r="S8" s="7">
        <x:v>694808.0</x:v>
      </x:c>
      <x:c r="T8" s="7">
        <x:v>5120.639999999999</x:v>
      </x:c>
      <x:c r="U8" s="7">
        <x:v>390678.82</x:v>
      </x:c>
      <x:c r="V8" s="2" t="s">
        <x:v>28</x:v>
      </x:c>
      <x:c r="W8" s="2" t="s">
        <x:v>28</x:v>
      </x:c>
      <x:c r="X8" s="2" t="s">
        <x:v>28</x:v>
      </x:c>
      <x:c r="Y8" s="2" t="s">
        <x:v>28</x:v>
      </x:c>
      <x:c r="Z8" s="9" t="s">
        <x:v>42</x:v>
      </x:c>
      <x:c r="AA8" s="57" t="str">
        <x:v>Snapshot only — run GitHub workflow</x:v>
      </x:c>
      <x:c r="AB8" s="58" t="n">
        <x:f>IFERROR(H8/G8,"")</x:f>
        <x:v>1</x:v>
      </x:c>
      <x:c r="AC8" s="57" t="str"/>
      <x:c r="AD8" s="57" t="str"/>
      <x:c r="AE8" s="57" t="str"/>
      <x:c r="AF8" s="57" t="str"/>
      <x:c r="AG8" s="2"/>
      <x:c r="AH8" s="2"/>
    </x:row>
    <x:row r="9" ht="15.75" customHeight="1">
      <x:c r="A9" s="2" t="s">
        <x:v>45</x:v>
      </x:c>
      <x:c r="B9" s="2" t="s">
        <x:v>45</x:v>
      </x:c>
      <x:c r="C9" s="3" t="e">
        <x:f>HYPERLINK("https://scan.mypinata.cloud/ipfs/bafybeih3olry3is4e4lzm7rus5l3h6zrphcal5a7ayfkhzm5oivjro2cp4/#/address/0x0b1307dc5D90a0B60Be18D2634843343eBc098AF", "0x0b1307dc5D90a0B60Be18D2634843343eBc098AF")</x:f>
      </x:c>
      <x:c r="D9" s="4" t="str">
        <x:f t="shared" si="1"/>
        <x:v>Atropa Dev</x:v>
      </x:c>
      <x:c r="E9" s="4" t="e">
        <x:f>HYPERLINK("https://scan.mypinata.cloud/ipfs/bafybeih3olry3is4e4lzm7rus5l3h6zrphcal5a7ayfkhzm5oivjro2cp4/#/block/17417403", "17417403")</x:f>
      </x:c>
      <x:c r="F9" s="4" t="e">
        <x:f>HYPERLINK("https://scan.mypinata.cloud/ipfs/bafybeih3olry3is4e4lzm7rus5l3h6zrphcal5a7ayfkhzm5oivjro2cp4/#/tx/0x831436b08d1664b1e4f8a57b52a142f9c9e7125775f83d194ad8072afa29fd3d", "2023-06-01 16:18:45")</x:f>
      </x:c>
      <x:c r="G9" s="5">
        <x:v>986828.8494763578</x:v>
      </x:c>
      <x:c r="H9" s="5">
        <x:v>986828.8494763578</x:v>
      </x:c>
      <x:c r="I9" s="5">
        <x:v>985452.5464636171</x:v>
      </x:c>
      <x:c r="J9" s="5">
        <x:v>0.0</x:v>
      </x:c>
      <x:c r="K9" s="5">
        <x:v>1376.3030127406782</x:v>
      </x:c>
      <x:c r="L9" s="2" t="s">
        <x:v>28</x:v>
      </x:c>
      <x:c r="M9" s="4" t="e">
        <x:f>HYPERLINK("https://scan.mypinata.cloud/ipfs/bafybeih3olry3is4e4lzm7rus5l3h6zrphcal5a7ayfkhzm5oivjro2cp4/#/tx/0x36cf992aeeb787797b5fed7a9eaad6a95867ccb1eb0be2d3da08235fcc4f1771", "2025-02-27 03:06:45")</x:f>
      </x:c>
      <x:c r="N9" s="2" t="e">
        <x:f>IFERROR(__xludf.DUMMYFUNCTION("IF(ISDATE(TO_DATE(L9)), MAX(0, ROUND(TODAY() - TO_DATE(L9)), 0), ""-"")"),"-")</x:f>
      </x:c>
      <x:c r="O9" s="2" t="e">
        <x:f>IFERROR(__xludf.DUMMYFUNCTION("IF(ISDATE(TO_DATE(M9)), MAX(0, ROUND(TODAY() - TO_DATE(M9)), 0), ""-"")"),491.0)</x:f>
      </x:c>
      <x:c r="P9" s="6">
        <x:v>3.21</x:v>
      </x:c>
      <x:c r="Q9" s="6">
        <x:v>81556.5862</x:v>
      </x:c>
      <x:c r="R9" s="7">
        <x:v>3167720.6068191086</x:v>
      </x:c>
      <x:c r="S9" s="7">
        <x:v>3168670.0</x:v>
      </x:c>
      <x:c r="T9" s="7">
        <x:v>9609.78</x:v>
      </x:c>
      <x:c r="U9" s="7">
        <x:v>5633672.16</x:v>
      </x:c>
      <x:c r="V9" s="2" t="s">
        <x:v>28</x:v>
      </x:c>
      <x:c r="W9" s="2" t="s">
        <x:v>28</x:v>
      </x:c>
      <x:c r="X9" s="2" t="s">
        <x:v>28</x:v>
      </x:c>
      <x:c r="Y9" s="2" t="s">
        <x:v>28</x:v>
      </x:c>
      <x:c r="Z9" s="9" t="s">
        <x:v>42</x:v>
      </x:c>
      <x:c r="AA9" s="57" t="str">
        <x:v>Snapshot only — run GitHub workflow</x:v>
      </x:c>
      <x:c r="AB9" s="58" t="n">
        <x:f>IFERROR(H9/G9,"")</x:f>
        <x:v>1</x:v>
      </x:c>
      <x:c r="AC9" s="57" t="str"/>
      <x:c r="AD9" s="57" t="str"/>
      <x:c r="AE9" s="57" t="str"/>
      <x:c r="AF9" s="57" t="str"/>
      <x:c r="AG9" s="2"/>
      <x:c r="AH9" s="2"/>
    </x:row>
    <x:row r="10" ht="15.75" customHeight="1">
      <x:c r="A10" s="2" t="s">
        <x:v>46</x:v>
      </x:c>
      <x:c r="B10" s="2" t="s">
        <x:v>47</x:v>
      </x:c>
      <x:c r="C10" s="3" t="e">
        <x:f>HYPERLINK("https://scan.mypinata.cloud/ipfs/bafybeih3olry3is4e4lzm7rus5l3h6zrphcal5a7ayfkhzm5oivjro2cp4/#/address/0x1b8F9E19360D1dc94295D984b7Ca7eA9b810D9ee", "0x1b8F9E19360D1dc94295D984b7Ca7eA9b810D9ee")</x:f>
      </x:c>
      <x:c r="D10" s="4" t="str">
        <x:f t="shared" si="1"/>
        <x:v>Atropa Dev</x:v>
      </x:c>
      <x:c r="E10" s="4" t="e">
        <x:f>HYPERLINK("https://scan.mypinata.cloud/ipfs/bafybeih3olry3is4e4lzm7rus5l3h6zrphcal5a7ayfkhzm5oivjro2cp4/#/block/17417465", "17417465")</x:f>
      </x:c>
      <x:c r="F10" s="4" t="e">
        <x:f>HYPERLINK("https://scan.mypinata.cloud/ipfs/bafybeih3olry3is4e4lzm7rus5l3h6zrphcal5a7ayfkhzm5oivjro2cp4/#/tx/0xc9b3a4e0ca9ba42242cbe85228371008d74c8f2141bcac073a0f3233f8683591", "2023-06-01 16:29:05")</x:f>
      </x:c>
      <x:c r="G10" s="5">
        <x:v>360797.02281521645</x:v>
      </x:c>
      <x:c r="H10" s="5">
        <x:v>360797.02281521645</x:v>
      </x:c>
      <x:c r="I10" s="5">
        <x:v>360797.02281521645</x:v>
      </x:c>
      <x:c r="J10" s="5">
        <x:v>0.0</x:v>
      </x:c>
      <x:c r="K10" s="5">
        <x:v>0.0</x:v>
      </x:c>
      <x:c r="L10" s="2" t="s">
        <x:v>28</x:v>
      </x:c>
      <x:c r="M10" s="2" t="s">
        <x:v>28</x:v>
      </x:c>
      <x:c r="N10" s="2" t="e">
        <x:f>IFERROR(__xludf.DUMMYFUNCTION("IF(ISDATE(TO_DATE(L10)), MAX(0, ROUND(TODAY() - TO_DATE(L10)), 0), ""-"")"),"-")</x:f>
      </x:c>
      <x:c r="O10" s="2" t="e">
        <x:f>IFERROR(__xludf.DUMMYFUNCTION("IF(ISDATE(TO_DATE(M10)), MAX(0, ROUND(TODAY() - TO_DATE(M10)), 0), ""-"")"),"-")</x:f>
      </x:c>
      <x:c r="P10" s="6">
        <x:v>8.44</x:v>
      </x:c>
      <x:c r="Q10" s="6">
        <x:v>210930.4473</x:v>
      </x:c>
      <x:c r="R10" s="7">
        <x:v>3045126.872560427</x:v>
      </x:c>
      <x:c r="S10" s="7">
        <x:v>3048157.0</x:v>
      </x:c>
      <x:c r="T10" s="7">
        <x:v>24990.229999999996</x:v>
      </x:c>
      <x:c r="U10" s="7">
        <x:v>5963928.88</x:v>
      </x:c>
      <x:c r="V10" s="2" t="s">
        <x:v>28</x:v>
      </x:c>
      <x:c r="W10" s="2" t="s">
        <x:v>28</x:v>
      </x:c>
      <x:c r="X10" s="2" t="s">
        <x:v>28</x:v>
      </x:c>
      <x:c r="Y10" s="2" t="s">
        <x:v>28</x:v>
      </x:c>
      <x:c r="Z10" s="9" t="s">
        <x:v>48</x:v>
      </x:c>
      <x:c r="AA10" s="57" t="str">
        <x:v>Snapshot only — run GitHub workflow</x:v>
      </x:c>
      <x:c r="AB10" s="58" t="n">
        <x:f>IFERROR(H10/G10,"")</x:f>
        <x:v>1</x:v>
      </x:c>
      <x:c r="AC10" s="57" t="str"/>
      <x:c r="AD10" s="57" t="str"/>
      <x:c r="AE10" s="57" t="str"/>
      <x:c r="AF10" s="57" t="str"/>
      <x:c r="AG10" s="2"/>
      <x:c r="AH10" s="2"/>
    </x:row>
    <x:row r="11" ht="15.75" customHeight="1">
      <x:c r="A11" s="2" t="s">
        <x:v>49</x:v>
      </x:c>
      <x:c r="B11" s="2" t="s">
        <x:v>50</x:v>
      </x:c>
      <x:c r="C11" s="3" t="e">
        <x:f>HYPERLINK("https://scan.mypinata.cloud/ipfs/bafybeih3olry3is4e4lzm7rus5l3h6zrphcal5a7ayfkhzm5oivjro2cp4/#/address/0xdE65090088Df0b2d80A5eC6A7B56ECE36ee83ce8", "0xdE65090088Df0b2d80A5eC6A7B56ECE36ee83ce8")</x:f>
      </x:c>
      <x:c r="D11" s="4" t="str">
        <x:f t="shared" si="1"/>
        <x:v>Atropa Dev</x:v>
      </x:c>
      <x:c r="E11" s="4" t="e">
        <x:f>HYPERLINK("https://scan.mypinata.cloud/ipfs/bafybeih3olry3is4e4lzm7rus5l3h6zrphcal5a7ayfkhzm5oivjro2cp4/#/block/17417525", "17417525")</x:f>
      </x:c>
      <x:c r="F11" s="4" t="e">
        <x:f>HYPERLINK("https://scan.mypinata.cloud/ipfs/bafybeih3olry3is4e4lzm7rus5l3h6zrphcal5a7ayfkhzm5oivjro2cp4/#/tx/0x8f0563c89e7b9c021697e40f73d61eed5f6df53189ace52f11538cdd4183687e", "2023-06-01 16:39:25")</x:f>
      </x:c>
      <x:c r="G11" s="5">
        <x:v>1000000.0</x:v>
      </x:c>
      <x:c r="H11" s="5">
        <x:v>1000000.0</x:v>
      </x:c>
      <x:c r="I11" s="5">
        <x:v>999991.9115571223</x:v>
      </x:c>
      <x:c r="J11" s="5">
        <x:v>0.0</x:v>
      </x:c>
      <x:c r="K11" s="5">
        <x:v>8.088442877798906</x:v>
      </x:c>
      <x:c r="L11" s="2" t="s">
        <x:v>28</x:v>
      </x:c>
      <x:c r="M11" s="4" t="e">
        <x:f>HYPERLINK("https://scan.mypinata.cloud/ipfs/bafybeih3olry3is4e4lzm7rus5l3h6zrphcal5a7ayfkhzm5oivjro2cp4/#/tx/0xe2ab8572f6e931249f3938f9b2cb431c06a72f40bcf4a19f28985ff38b1ca87c", "2025-02-05 06:05:25")</x:f>
      </x:c>
      <x:c r="N11" s="2" t="e">
        <x:f>IFERROR(__xludf.DUMMYFUNCTION("IF(ISDATE(TO_DATE(L11)), MAX(0, ROUND(TODAY() - TO_DATE(L11)), 0), ""-"")"),"-")</x:f>
      </x:c>
      <x:c r="O11" s="2" t="e">
        <x:f>IFERROR(__xludf.DUMMYFUNCTION("IF(ISDATE(TO_DATE(M11)), MAX(0, ROUND(TODAY() - TO_DATE(M11)), 0), ""-"")"),513.0)</x:f>
      </x:c>
      <x:c r="P11" s="6">
        <x:v>1.2</x:v>
      </x:c>
      <x:c r="Q11" s="6">
        <x:v>30387.8838</x:v>
      </x:c>
      <x:c r="R11" s="7">
        <x:v>1200000.0</x:v>
      </x:c>
      <x:c r="S11" s="7">
        <x:v>1203295.0</x:v>
      </x:c>
      <x:c r="T11" s="7">
        <x:v>8128.440000000001</x:v>
      </x:c>
      <x:c r="U11" s="7">
        <x:v>539965.6900000002</x:v>
      </x:c>
      <x:c r="V11" s="8" t="n">
        <x:f t="array" ref="V11">0.54%</x:f>
        <x:v>0.0054</x:v>
      </x:c>
      <x:c r="W11" s="8" t="n">
        <x:f t="array" ref="W11">-1.16%</x:f>
        <x:v>-0.0116</x:v>
      </x:c>
      <x:c r="X11" s="8" t="n">
        <x:f t="array" ref="X11">-4.19%</x:f>
        <x:v>-0.04190000000000001</x:v>
      </x:c>
      <x:c r="Y11" s="8" t="n">
        <x:f t="array" ref="Y11">-5.16%</x:f>
        <x:v>-0.0516</x:v>
      </x:c>
      <x:c r="Z11" s="9" t="s">
        <x:v>42</x:v>
      </x:c>
      <x:c r="AA11" s="57" t="str">
        <x:v>Snapshot only — run GitHub workflow</x:v>
      </x:c>
      <x:c r="AB11" s="58" t="n">
        <x:f>IFERROR(H11/G11,"")</x:f>
        <x:v>1</x:v>
      </x:c>
      <x:c r="AC11" s="57" t="str"/>
      <x:c r="AD11" s="57" t="str"/>
      <x:c r="AE11" s="57" t="str"/>
      <x:c r="AF11" s="57" t="str"/>
      <x:c r="AG11" s="2"/>
      <x:c r="AH11" s="2"/>
    </x:row>
    <x:row r="12" ht="15.75" customHeight="1">
      <x:c r="A12" s="2" t="s">
        <x:v>51</x:v>
      </x:c>
      <x:c r="B12" s="2" t="s">
        <x:v>52</x:v>
      </x:c>
      <x:c r="C12" s="3" t="e">
        <x:f>HYPERLINK("https://scan.mypinata.cloud/ipfs/bafybeih3olry3is4e4lzm7rus5l3h6zrphcal5a7ayfkhzm5oivjro2cp4/#/address/0xf520404CF4fa5B633626333775b05F5dF94E1a9C", "0xf520404CF4fa5B633626333775b05F5dF94E1a9C")</x:f>
      </x:c>
      <x:c r="D12" s="4" t="str">
        <x:f t="shared" si="1"/>
        <x:v>Atropa Dev</x:v>
      </x:c>
      <x:c r="E12" s="4" t="e">
        <x:f>HYPERLINK("https://scan.mypinata.cloud/ipfs/bafybeih3olry3is4e4lzm7rus5l3h6zrphcal5a7ayfkhzm5oivjro2cp4/#/block/17417608", "17417608")</x:f>
      </x:c>
      <x:c r="F12" s="4" t="e">
        <x:f>HYPERLINK("https://scan.mypinata.cloud/ipfs/bafybeih3olry3is4e4lzm7rus5l3h6zrphcal5a7ayfkhzm5oivjro2cp4/#/tx/0xd239e1942379d614ffa49181fc81a6f720650c6cd748bb7938d4e6ac9f15b0c9", "2023-06-01 16:53:35")</x:f>
      </x:c>
      <x:c r="G12" s="5">
        <x:v>5.0E9</x:v>
      </x:c>
      <x:c r="H12" s="5">
        <x:v>5.0E9</x:v>
      </x:c>
      <x:c r="I12" s="5">
        <x:v>5.0E9</x:v>
      </x:c>
      <x:c r="J12" s="5">
        <x:v>0.0</x:v>
      </x:c>
      <x:c r="K12" s="5">
        <x:v>0.0</x:v>
      </x:c>
      <x:c r="L12" s="2" t="s">
        <x:v>28</x:v>
      </x:c>
      <x:c r="M12" s="2" t="s">
        <x:v>28</x:v>
      </x:c>
      <x:c r="N12" s="2" t="e">
        <x:f>IFERROR(__xludf.DUMMYFUNCTION("IF(ISDATE(TO_DATE(L12)), MAX(0, ROUND(TODAY() - TO_DATE(L12)), 0), ""-"")"),"-")</x:f>
      </x:c>
      <x:c r="O12" s="2" t="e">
        <x:f>IFERROR(__xludf.DUMMYFUNCTION("IF(ISDATE(TO_DATE(M12)), MAX(0, ROUND(TODAY() - TO_DATE(M12)), 0), ""-"")"),"-")</x:f>
      </x:c>
      <x:c r="P12" s="6">
        <x:v>2.806E-5</x:v>
      </x:c>
      <x:c r="Q12" s="6">
        <x:v>0.6988</x:v>
      </x:c>
      <x:c r="R12" s="7">
        <x:v>140300.0</x:v>
      </x:c>
      <x:c r="S12" s="7">
        <x:v>140315.0</x:v>
      </x:c>
      <x:c r="T12" s="7">
        <x:v>1575.4600000000003</x:v>
      </x:c>
      <x:c r="U12" s="7">
        <x:v>123535.71000000002</x:v>
      </x:c>
      <x:c r="V12" s="2" t="s">
        <x:v>28</x:v>
      </x:c>
      <x:c r="W12" s="2" t="s">
        <x:v>28</x:v>
      </x:c>
      <x:c r="X12" s="2" t="s">
        <x:v>28</x:v>
      </x:c>
      <x:c r="Y12" s="2" t="s">
        <x:v>28</x:v>
      </x:c>
      <x:c r="Z12" s="9" t="s">
        <x:v>53</x:v>
      </x:c>
      <x:c r="AA12" s="57" t="str">
        <x:v>Snapshot only — run GitHub workflow</x:v>
      </x:c>
      <x:c r="AB12" s="58" t="n">
        <x:f>IFERROR(H12/G12,"")</x:f>
        <x:v>1</x:v>
      </x:c>
      <x:c r="AC12" s="57" t="str"/>
      <x:c r="AD12" s="57" t="str"/>
      <x:c r="AE12" s="57" t="str"/>
      <x:c r="AF12" s="57" t="str"/>
      <x:c r="AG12" s="2"/>
      <x:c r="AH12" s="2"/>
    </x:row>
    <x:row r="13" ht="15.75" customHeight="1">
      <x:c r="A13" s="2" t="s">
        <x:v>54</x:v>
      </x:c>
      <x:c r="B13" s="2" t="s">
        <x:v>55</x:v>
      </x:c>
      <x:c r="C13" s="3" t="e">
        <x:f>HYPERLINK("https://scan.mypinata.cloud/ipfs/bafybeih3olry3is4e4lzm7rus5l3h6zrphcal5a7ayfkhzm5oivjro2cp4/#/address/0xd6c31bA0754C4383A41c0e9DF042C62b5e918f6d", "0xd6c31bA0754C4383A41c0e9DF042C62b5e918f6d")</x:f>
      </x:c>
      <x:c r="D13" s="4" t="str">
        <x:f t="shared" si="1"/>
        <x:v>Atropa Dev</x:v>
      </x:c>
      <x:c r="E13" s="4" t="e">
        <x:f>HYPERLINK("https://scan.mypinata.cloud/ipfs/bafybeih3olry3is4e4lzm7rus5l3h6zrphcal5a7ayfkhzm5oivjro2cp4/#/block/17417800", "17417800")</x:f>
      </x:c>
      <x:c r="F13" s="4" t="e">
        <x:f>HYPERLINK("https://scan.mypinata.cloud/ipfs/bafybeih3olry3is4e4lzm7rus5l3h6zrphcal5a7ayfkhzm5oivjro2cp4/#/tx/0x2def61ce4ab9a840f7c897b7f27fb376de0086479f95b94af7f0d296d7900707", "2023-06-01 17:25:45")</x:f>
      </x:c>
      <x:c r="G13" s="5">
        <x:v>9.99000000000212E14</x:v>
      </x:c>
      <x:c r="H13" s="5">
        <x:v>9.99000000000212E14</x:v>
      </x:c>
      <x:c r="I13" s="5">
        <x:v>9.985496179390244E14</x:v>
      </x:c>
      <x:c r="J13" s="5">
        <x:v>0.0</x:v>
      </x:c>
      <x:c r="K13" s="5">
        <x:v>4.503820611876385E11</x:v>
      </x:c>
      <x:c r="L13" s="2" t="s">
        <x:v>28</x:v>
      </x:c>
      <x:c r="M13" s="4" t="e">
        <x:f>HYPERLINK("https://scan.mypinata.cloud/ipfs/bafybeih3olry3is4e4lzm7rus5l3h6zrphcal5a7ayfkhzm5oivjro2cp4/#/tx/0x94cf9102de63818f5b6c1949b2a6034de7b1458bfa82e4c35708628128dfe668", "2025-02-27 12:26:55")</x:f>
      </x:c>
      <x:c r="N13" s="2" t="e">
        <x:f>IFERROR(__xludf.DUMMYFUNCTION("IF(ISDATE(TO_DATE(L13)), MAX(0, ROUND(TODAY() - TO_DATE(L13)), 0), ""-"")"),"-")</x:f>
      </x:c>
      <x:c r="O13" s="2" t="e">
        <x:f>IFERROR(__xludf.DUMMYFUNCTION("IF(ISDATE(TO_DATE(M13)), MAX(0, ROUND(TODAY() - TO_DATE(M13)), 0), ""-"")"),490.0)</x:f>
      </x:c>
      <x:c r="P13" s="6">
        <x:v>2.827E-8</x:v>
      </x:c>
      <x:c r="Q13" s="6">
        <x:v>7.14E-4</x:v>
      </x:c>
      <x:c r="R13" s="7">
        <x:v>2.8241730000005994E7</x:v>
      </x:c>
      <x:c r="S13" s="7">
        <x:v>2.8237448E7</x:v>
      </x:c>
      <x:c r="T13" s="7">
        <x:v>434072.6499999999</x:v>
      </x:c>
      <x:c r="U13" s="7">
        <x:v>6206267.85</x:v>
      </x:c>
      <x:c r="V13" s="8" t="n">
        <x:f t="array" ref="V13">-0.54%</x:f>
        <x:v>-0.0054</x:v>
      </x:c>
      <x:c r="W13" s="8" t="n">
        <x:f t="array" ref="W13">-0.1%</x:f>
        <x:v>-0.001</x:v>
      </x:c>
      <x:c r="X13" s="8" t="n">
        <x:f t="array" ref="X13">-4.2%</x:f>
        <x:v>-0.042</x:v>
      </x:c>
      <x:c r="Y13" s="8" t="n">
        <x:f t="array" ref="Y13">-2.62%</x:f>
        <x:v>-0.0262</x:v>
      </x:c>
      <x:c r="Z13" s="9" t="s">
        <x:v>53</x:v>
      </x:c>
      <x:c r="AA13" s="57" t="str">
        <x:v>Snapshot only — run GitHub workflow</x:v>
      </x:c>
      <x:c r="AB13" s="58" t="n">
        <x:f>IFERROR(H13/G13,"")</x:f>
        <x:v>1</x:v>
      </x:c>
      <x:c r="AC13" s="57" t="str"/>
      <x:c r="AD13" s="57" t="str"/>
      <x:c r="AE13" s="57" t="str"/>
      <x:c r="AF13" s="57" t="str"/>
      <x:c r="AG13" s="2"/>
      <x:c r="AH13" s="2"/>
    </x:row>
    <x:row r="14" ht="15.75" customHeight="1">
      <x:c r="A14" s="2" t="s">
        <x:v>56</x:v>
      </x:c>
      <x:c r="B14" s="2" t="s">
        <x:v>57</x:v>
      </x:c>
      <x:c r="C14" s="3" t="e">
        <x:f>HYPERLINK("https://scan.mypinata.cloud/ipfs/bafybeih3olry3is4e4lzm7rus5l3h6zrphcal5a7ayfkhzm5oivjro2cp4/#/address/0x463413c579D29c26D59a65312657DFCe30D545A1", "0x463413c579D29c26D59a65312657DFCe30D545A1")</x:f>
      </x:c>
      <x:c r="D14" s="4" t="str">
        <x:f t="shared" si="1"/>
        <x:v>Atropa Dev</x:v>
      </x:c>
      <x:c r="E14" s="4" t="e">
        <x:f>HYPERLINK("https://scan.mypinata.cloud/ipfs/bafybeih3olry3is4e4lzm7rus5l3h6zrphcal5a7ayfkhzm5oivjro2cp4/#/block/17418113", "17418113")</x:f>
      </x:c>
      <x:c r="F14" s="4" t="e">
        <x:f>HYPERLINK("https://scan.mypinata.cloud/ipfs/bafybeih3olry3is4e4lzm7rus5l3h6zrphcal5a7ayfkhzm5oivjro2cp4/#/tx/0x8b2a351ec4d47ce6911c4250a4c0f658bd15ed8b35b017e29b1abc5b2fc39c0c", "2023-06-01 18:18:25")</x:f>
      </x:c>
      <x:c r="G14" s="5">
        <x:v>1.111111111E9</x:v>
      </x:c>
      <x:c r="H14" s="5">
        <x:v>1.362380747623792E11</x:v>
      </x:c>
      <x:c r="I14" s="5">
        <x:v>1.3623153710326868E11</x:v>
      </x:c>
      <x:c r="J14" s="5">
        <x:v>1.351269636671E11</x:v>
      </x:c>
      <x:c r="K14" s="5">
        <x:v>6537674.831327905</x:v>
      </x:c>
      <x:c r="L14" s="4" t="e">
        <x:f>HYPERLINK("https://scan.mypinata.cloud/ipfs/bafybeih3olry3is4e4lzm7rus5l3h6zrphcal5a7ayfkhzm5oivjro2cp4/#/tx/0xc3e8fb7cf737c317f2b30853ea715a471b595c7e61a0e21adaccd73c1ee611b5", "2025-02-23 22:48:25")</x:f>
      </x:c>
      <x:c r="M14" s="4" t="e">
        <x:f>HYPERLINK("https://scan.mypinata.cloud/ipfs/bafybeih3olry3is4e4lzm7rus5l3h6zrphcal5a7ayfkhzm5oivjro2cp4/#/tx/0xd3237d396b88cb8bb1cddf63e53ef1fd1477b2e8d502d6d909f167237edbdf4c", "2025-02-27 08:17:15")</x:f>
      </x:c>
      <x:c r="N14" s="2" t="e">
        <x:f>IFERROR(__xludf.DUMMYFUNCTION("IF(ISDATE(TO_DATE(L14)), MAX(0, ROUND(TODAY() - TO_DATE(L14)), 0), ""-"")"),494.0)</x:f>
      </x:c>
      <x:c r="O14" s="2" t="e">
        <x:f>IFERROR(__xludf.DUMMYFUNCTION("IF(ISDATE(TO_DATE(M14)), MAX(0, ROUND(TODAY() - TO_DATE(M14)), 0), ""-"")"),491.0)</x:f>
      </x:c>
      <x:c r="P14" s="6">
        <x:v>0.001044</x:v>
      </x:c>
      <x:c r="Q14" s="6">
        <x:v>26.3734</x:v>
      </x:c>
      <x:c r="R14" s="7">
        <x:v>1.422325500519239E8</x:v>
      </x:c>
      <x:c r="S14" s="7">
        <x:v>1.4229446E8</x:v>
      </x:c>
      <x:c r="T14" s="7">
        <x:v>48293.56999999999</x:v>
      </x:c>
      <x:c r="U14" s="7">
        <x:v>2.3608102619999997E7</x:v>
      </x:c>
      <x:c r="V14" s="8" t="n">
        <x:f t="array" ref="V14">0.04%</x:f>
        <x:v>0.0004</x:v>
      </x:c>
      <x:c r="W14" s="8" t="n">
        <x:f t="array" ref="W14">-0.34%</x:f>
        <x:v>-0.0034000000000000002</x:v>
      </x:c>
      <x:c r="X14" s="8" t="n">
        <x:f t="array" ref="X14">-3.67%</x:f>
        <x:v>-0.036699999999999997</x:v>
      </x:c>
      <x:c r="Y14" s="8" t="n">
        <x:f t="array" ref="Y14">-2.88%</x:f>
        <x:v>-0.0288</x:v>
      </x:c>
      <x:c r="Z14" s="9" t="s">
        <x:v>53</x:v>
      </x:c>
      <x:c r="AA14" s="57" t="str">
        <x:v>Snapshot only — run GitHub workflow</x:v>
      </x:c>
      <x:c r="AB14" s="58" t="n">
        <x:f>IFERROR(H14/G14,"")</x:f>
        <x:v>122.61426729840271</x:v>
      </x:c>
      <x:c r="AC14" s="57" t="str"/>
      <x:c r="AD14" s="57" t="str"/>
      <x:c r="AE14" s="57" t="str"/>
      <x:c r="AF14" s="57" t="str"/>
      <x:c r="AG14" s="2"/>
      <x:c r="AH14" s="2"/>
    </x:row>
    <x:row r="15" ht="15.75" customHeight="1">
      <x:c r="A15" s="2" t="s">
        <x:v>58</x:v>
      </x:c>
      <x:c r="B15" s="2" t="s">
        <x:v>58</x:v>
      </x:c>
      <x:c r="C15" s="3" t="e">
        <x:f>HYPERLINK("https://scan.mypinata.cloud/ipfs/bafybeih3olry3is4e4lzm7rus5l3h6zrphcal5a7ayfkhzm5oivjro2cp4/#/address/0xFa4d9C6E012d946853386113ACbF166deC5465Bb", "0xFa4d9C6E012d946853386113ACbF166deC5465Bb")</x:f>
      </x:c>
      <x:c r="D15" s="4" t="str">
        <x:f t="shared" si="1"/>
        <x:v>Atropa Dev</x:v>
      </x:c>
      <x:c r="E15" s="4" t="e">
        <x:f>HYPERLINK("https://scan.mypinata.cloud/ipfs/bafybeih3olry3is4e4lzm7rus5l3h6zrphcal5a7ayfkhzm5oivjro2cp4/#/block/17418781", "17418781")</x:f>
      </x:c>
      <x:c r="F15" s="4" t="e">
        <x:f>HYPERLINK("https://scan.mypinata.cloud/ipfs/bafybeih3olry3is4e4lzm7rus5l3h6zrphcal5a7ayfkhzm5oivjro2cp4/#/tx/0xe342122aa35e8b3052df40f68525c5f9b0604a90978cd3bf119305cc4ac707a2", "2023-06-01 20:10:05")</x:f>
      </x:c>
      <x:c r="G15" s="5">
        <x:v>1.111111111E9</x:v>
      </x:c>
      <x:c r="H15" s="5">
        <x:v>2.222222222E9</x:v>
      </x:c>
      <x:c r="I15" s="5">
        <x:v>2.222222222E9</x:v>
      </x:c>
      <x:c r="J15" s="5">
        <x:v>1.111111111E9</x:v>
      </x:c>
      <x:c r="K15" s="5">
        <x:v>0.0</x:v>
      </x:c>
      <x:c r="L15" s="4" t="e">
        <x:f>HYPERLINK("https://scan.mypinata.cloud/ipfs/bafybeih3olry3is4e4lzm7rus5l3h6zrphcal5a7ayfkhzm5oivjro2cp4/#/tx/0x6c37455fcd00238859a9e3aa0febafb39465424f5fca85f660566bf8916da268", "2023-08-16 22:34:15")</x:f>
      </x:c>
      <x:c r="M15" s="2" t="s">
        <x:v>28</x:v>
      </x:c>
      <x:c r="N15" s="2" t="e">
        <x:f>IFERROR(__xludf.DUMMYFUNCTION("IF(ISDATE(TO_DATE(L15)), MAX(0, ROUND(TODAY() - TO_DATE(L15)), 0), ""-"")"),1051.0)</x:f>
      </x:c>
      <x:c r="O15" s="2" t="e">
        <x:f>IFERROR(__xludf.DUMMYFUNCTION("IF(ISDATE(TO_DATE(M15)), MAX(0, ROUND(TODAY() - TO_DATE(M15)), 0), ""-"")"),"-")</x:f>
      </x:c>
      <x:c r="P15" s="6">
        <x:v>1.067E-4</x:v>
      </x:c>
      <x:c r="Q15" s="6">
        <x:v>2.6905</x:v>
      </x:c>
      <x:c r="R15" s="7">
        <x:v>237111.1110874</x:v>
      </x:c>
      <x:c r="S15" s="7">
        <x:v>237262.0</x:v>
      </x:c>
      <x:c r="T15" s="7">
        <x:v>3686.3399999999997</x:v>
      </x:c>
      <x:c r="U15" s="7">
        <x:v>207888.40999999997</x:v>
      </x:c>
      <x:c r="V15" s="2" t="s">
        <x:v>28</x:v>
      </x:c>
      <x:c r="W15" s="2" t="s">
        <x:v>28</x:v>
      </x:c>
      <x:c r="X15" s="2" t="s">
        <x:v>28</x:v>
      </x:c>
      <x:c r="Y15" s="2" t="s">
        <x:v>28</x:v>
      </x:c>
      <x:c r="Z15" s="9" t="s">
        <x:v>31</x:v>
      </x:c>
      <x:c r="AA15" s="57" t="str">
        <x:v>Snapshot only — run GitHub workflow</x:v>
      </x:c>
      <x:c r="AB15" s="58" t="n">
        <x:f>IFERROR(H15/G15,"")</x:f>
        <x:v>2</x:v>
      </x:c>
      <x:c r="AC15" s="57" t="str"/>
      <x:c r="AD15" s="57" t="str"/>
      <x:c r="AE15" s="57" t="str"/>
      <x:c r="AF15" s="57" t="str"/>
      <x:c r="AG15" s="2"/>
      <x:c r="AH15" s="2"/>
    </x:row>
    <x:row r="16" ht="15.75" customHeight="1">
      <x:c r="A16" s="2" t="s">
        <x:v>59</x:v>
      </x:c>
      <x:c r="B16" s="2" t="s">
        <x:v>60</x:v>
      </x:c>
      <x:c r="C16" s="3" t="e">
        <x:f>HYPERLINK("https://scan.mypinata.cloud/ipfs/bafybeih3olry3is4e4lzm7rus5l3h6zrphcal5a7ayfkhzm5oivjro2cp4/#/address/0x557F7e30aA6D909Cfe8a229A4CB178ab186EC622", "0x557F7e30aA6D909Cfe8a229A4CB178ab186EC622")</x:f>
      </x:c>
      <x:c r="D16" s="4" t="str">
        <x:f t="shared" si="1"/>
        <x:v>Atropa Dev</x:v>
      </x:c>
      <x:c r="E16" s="4" t="e">
        <x:f>HYPERLINK("https://scan.mypinata.cloud/ipfs/bafybeih3olry3is4e4lzm7rus5l3h6zrphcal5a7ayfkhzm5oivjro2cp4/#/block/17426621", "17426621")</x:f>
      </x:c>
      <x:c r="F16" s="4" t="e">
        <x:f>HYPERLINK("https://scan.mypinata.cloud/ipfs/bafybeih3olry3is4e4lzm7rus5l3h6zrphcal5a7ayfkhzm5oivjro2cp4/#/tx/0x5c0a4abb2ffad39a0031f8cf094bdae01698d29a1f898f7bf4e99080bbdf305f", "2023-06-02 18:02:15")</x:f>
      </x:c>
      <x:c r="G16" s="5">
        <x:v>100.0</x:v>
      </x:c>
      <x:c r="H16" s="5">
        <x:v>100.0</x:v>
      </x:c>
      <x:c r="I16" s="5">
        <x:v>99.99999998885555</x:v>
      </x:c>
      <x:c r="J16" s="5">
        <x:v>0.0</x:v>
      </x:c>
      <x:c r="K16" s="10" t="s">
        <x:v>61</x:v>
      </x:c>
      <x:c r="L16" s="2" t="s">
        <x:v>28</x:v>
      </x:c>
      <x:c r="M16" s="4" t="e">
        <x:f>HYPERLINK("https://scan.mypinata.cloud/ipfs/bafybeih3olry3is4e4lzm7rus5l3h6zrphcal5a7ayfkhzm5oivjro2cp4/#/tx/0xeb3184262751860f340075c28a13784bbb12caeaa524795289b2b0a90dde9e67", "2025-02-27 14:31:35")</x:f>
      </x:c>
      <x:c r="N16" s="2" t="e">
        <x:f>IFERROR(__xludf.DUMMYFUNCTION("IF(ISDATE(TO_DATE(L16)), MAX(0, ROUND(TODAY() - TO_DATE(L16)), 0), ""-"")"),"-")</x:f>
      </x:c>
      <x:c r="O16" s="2" t="e">
        <x:f>IFERROR(__xludf.DUMMYFUNCTION("IF(ISDATE(TO_DATE(M16)), MAX(0, ROUND(TODAY() - TO_DATE(M16)), 0), ""-"")"),490.0)</x:f>
      </x:c>
      <x:c r="P16" s="6">
        <x:v>86333.37</x:v>
      </x:c>
      <x:c r="Q16" s="6">
        <x:v>2.179925999006999E9</x:v>
      </x:c>
      <x:c r="R16" s="7">
        <x:v>8633337.0</x:v>
      </x:c>
      <x:c r="S16" s="7">
        <x:v>8633338.0</x:v>
      </x:c>
      <x:c r="T16" s="7">
        <x:v>5951.380000000001</x:v>
      </x:c>
      <x:c r="U16" s="7">
        <x:v>6209797.76</x:v>
      </x:c>
      <x:c r="V16" s="2" t="s">
        <x:v>28</x:v>
      </x:c>
      <x:c r="W16" s="2" t="s">
        <x:v>28</x:v>
      </x:c>
      <x:c r="X16" s="2" t="s">
        <x:v>28</x:v>
      </x:c>
      <x:c r="Y16" s="2" t="s">
        <x:v>28</x:v>
      </x:c>
      <x:c r="Z16" s="9" t="s">
        <x:v>31</x:v>
      </x:c>
      <x:c r="AA16" s="57" t="str">
        <x:v>Snapshot only — run GitHub workflow</x:v>
      </x:c>
      <x:c r="AB16" s="58" t="n">
        <x:f>IFERROR(H16/G16,"")</x:f>
        <x:v>1</x:v>
      </x:c>
      <x:c r="AC16" s="57" t="str"/>
      <x:c r="AD16" s="57" t="str"/>
      <x:c r="AE16" s="57" t="str"/>
      <x:c r="AF16" s="57" t="str"/>
      <x:c r="AG16" s="2"/>
      <x:c r="AH16" s="2"/>
    </x:row>
    <x:row r="17" ht="15.75" customHeight="1">
      <x:c r="A17" s="2" t="s">
        <x:v>62</x:v>
      </x:c>
      <x:c r="B17" s="2" t="s">
        <x:v>62</x:v>
      </x:c>
      <x:c r="C17" s="3" t="e">
        <x:f>HYPERLINK("https://scan.mypinata.cloud/ipfs/bafybeih3olry3is4e4lzm7rus5l3h6zrphcal5a7ayfkhzm5oivjro2cp4/#/address/0xDf6A16689A893095C721542e5d3CE55bBcc23aC6", "0xDf6A16689A893095C721542e5d3CE55bBcc23aC6")</x:f>
      </x:c>
      <x:c r="D17" s="4" t="str">
        <x:f t="shared" si="1"/>
        <x:v>Atropa Dev</x:v>
      </x:c>
      <x:c r="E17" s="4" t="e">
        <x:f>HYPERLINK("https://scan.mypinata.cloud/ipfs/bafybeih3olry3is4e4lzm7rus5l3h6zrphcal5a7ayfkhzm5oivjro2cp4/#/block/17450833", "17450833")</x:f>
      </x:c>
      <x:c r="F17" s="4" t="e">
        <x:f>HYPERLINK("https://scan.mypinata.cloud/ipfs/bafybeih3olry3is4e4lzm7rus5l3h6zrphcal5a7ayfkhzm5oivjro2cp4/#/tx/0xf2956346d27027489b9b5cb2f40c5f596e2cd5c243add3f682d32bb5cb3d0983", "2023-06-05 13:57:45")</x:f>
      </x:c>
      <x:c r="G17" s="5">
        <x:v>5.0E8</x:v>
      </x:c>
      <x:c r="H17" s="5">
        <x:v>5.0E8</x:v>
      </x:c>
      <x:c r="I17" s="5">
        <x:v>4.999983375143966E8</x:v>
      </x:c>
      <x:c r="J17" s="5">
        <x:v>0.0</x:v>
      </x:c>
      <x:c r="K17" s="5">
        <x:v>1662.4856034062875</x:v>
      </x:c>
      <x:c r="L17" s="2" t="s">
        <x:v>28</x:v>
      </x:c>
      <x:c r="M17" s="4" t="e">
        <x:f>HYPERLINK("https://scan.mypinata.cloud/ipfs/bafybeih3olry3is4e4lzm7rus5l3h6zrphcal5a7ayfkhzm5oivjro2cp4/#/tx/0xb1478022e64c8b222e5f56bb707ee150996a4e6c90a238601410eba2c3d198c2", "2025-02-27 08:12:15")</x:f>
      </x:c>
      <x:c r="N17" s="2" t="e">
        <x:f>IFERROR(__xludf.DUMMYFUNCTION("IF(ISDATE(TO_DATE(L17)), MAX(0, ROUND(TODAY() - TO_DATE(L17)), 0), ""-"")"),"-")</x:f>
      </x:c>
      <x:c r="O17" s="2" t="e">
        <x:f>IFERROR(__xludf.DUMMYFUNCTION("IF(ISDATE(TO_DATE(M17)), MAX(0, ROUND(TODAY() - TO_DATE(M17)), 0), ""-"")"),491.0)</x:f>
      </x:c>
      <x:c r="P17" s="6">
        <x:v>0.0116</x:v>
      </x:c>
      <x:c r="Q17" s="6">
        <x:v>292.3532</x:v>
      </x:c>
      <x:c r="R17" s="7">
        <x:v>5800000.0</x:v>
      </x:c>
      <x:c r="S17" s="7">
        <x:v>5800727.0</x:v>
      </x:c>
      <x:c r="T17" s="7">
        <x:v>16195.860000000002</x:v>
      </x:c>
      <x:c r="U17" s="7">
        <x:v>7397751.070000001</x:v>
      </x:c>
      <x:c r="V17" s="2" t="s">
        <x:v>28</x:v>
      </x:c>
      <x:c r="W17" s="2" t="s">
        <x:v>28</x:v>
      </x:c>
      <x:c r="X17" s="2" t="s">
        <x:v>28</x:v>
      </x:c>
      <x:c r="Y17" s="2" t="s">
        <x:v>28</x:v>
      </x:c>
      <x:c r="Z17" s="9" t="s">
        <x:v>31</x:v>
      </x:c>
      <x:c r="AA17" s="57" t="str">
        <x:v>Snapshot only — run GitHub workflow</x:v>
      </x:c>
      <x:c r="AB17" s="58" t="n">
        <x:f>IFERROR(H17/G17,"")</x:f>
        <x:v>1</x:v>
      </x:c>
      <x:c r="AC17" s="57" t="str"/>
      <x:c r="AD17" s="57" t="str"/>
      <x:c r="AE17" s="57" t="str"/>
      <x:c r="AF17" s="57" t="str"/>
      <x:c r="AG17" s="2"/>
      <x:c r="AH17" s="2"/>
    </x:row>
    <x:row r="18" ht="15.75" customHeight="1">
      <x:c r="A18" s="2" t="s">
        <x:v>63</x:v>
      </x:c>
      <x:c r="B18" s="2" t="s">
        <x:v>64</x:v>
      </x:c>
      <x:c r="C18" s="3" t="e">
        <x:f>HYPERLINK("https://scan.mypinata.cloud/ipfs/bafybeih3olry3is4e4lzm7rus5l3h6zrphcal5a7ayfkhzm5oivjro2cp4/#/address/0x36d4Ac3DF7Bf8aa3843Ad40C8b3eB67e3d18b4e1", "0x36d4Ac3DF7Bf8aa3843Ad40C8b3eB67e3d18b4e1")</x:f>
      </x:c>
      <x:c r="D18" s="4" t="str">
        <x:f t="shared" si="1"/>
        <x:v>Atropa Dev</x:v>
      </x:c>
      <x:c r="E18" s="4" t="e">
        <x:f>HYPERLINK("https://scan.mypinata.cloud/ipfs/bafybeih3olry3is4e4lzm7rus5l3h6zrphcal5a7ayfkhzm5oivjro2cp4/#/block/17511529", "17511529")</x:f>
      </x:c>
      <x:c r="F18" s="4" t="e">
        <x:f>HYPERLINK("https://scan.mypinata.cloud/ipfs/bafybeih3olry3is4e4lzm7rus5l3h6zrphcal5a7ayfkhzm5oivjro2cp4/#/tx/0x7fbe1c9cdd9222c73cd1a506ce219fd79b974e9a95889fa5ae4b5fb183c690ef", "2023-06-12 15:52:35")</x:f>
      </x:c>
      <x:c r="G18" s="5">
        <x:v>1.111111111E9</x:v>
      </x:c>
      <x:c r="H18" s="5">
        <x:v>1.111111111E9</x:v>
      </x:c>
      <x:c r="I18" s="5">
        <x:v>1.111111111E9</x:v>
      </x:c>
      <x:c r="J18" s="5">
        <x:v>0.0</x:v>
      </x:c>
      <x:c r="K18" s="5">
        <x:v>0.0</x:v>
      </x:c>
      <x:c r="L18" s="2" t="s">
        <x:v>28</x:v>
      </x:c>
      <x:c r="M18" s="2" t="s">
        <x:v>28</x:v>
      </x:c>
      <x:c r="N18" s="2" t="e">
        <x:f>IFERROR(__xludf.DUMMYFUNCTION("IF(ISDATE(TO_DATE(L18)), MAX(0, ROUND(TODAY() - TO_DATE(L18)), 0), ""-"")"),"-")</x:f>
      </x:c>
      <x:c r="O18" s="2" t="e">
        <x:f>IFERROR(__xludf.DUMMYFUNCTION("IF(ISDATE(TO_DATE(M18)), MAX(0, ROUND(TODAY() - TO_DATE(M18)), 0), ""-"")"),"-")</x:f>
      </x:c>
      <x:c r="P18" s="6">
        <x:v>3.742E-4</x:v>
      </x:c>
      <x:c r="Q18" s="6">
        <x:v>9.4319</x:v>
      </x:c>
      <x:c r="R18" s="7">
        <x:v>415777.7777362</x:v>
      </x:c>
      <x:c r="S18" s="7">
        <x:v>415877.0</x:v>
      </x:c>
      <x:c r="T18" s="7">
        <x:v>2982.4600000000005</x:v>
      </x:c>
      <x:c r="U18" s="7">
        <x:v>560639.6600000001</x:v>
      </x:c>
      <x:c r="V18" s="2" t="s">
        <x:v>28</x:v>
      </x:c>
      <x:c r="W18" s="2" t="s">
        <x:v>28</x:v>
      </x:c>
      <x:c r="X18" s="2" t="s">
        <x:v>28</x:v>
      </x:c>
      <x:c r="Y18" s="2" t="s">
        <x:v>28</x:v>
      </x:c>
      <x:c r="Z18" s="9" t="s">
        <x:v>65</x:v>
      </x:c>
      <x:c r="AA18" s="57" t="str">
        <x:v>Snapshot only — run GitHub workflow</x:v>
      </x:c>
      <x:c r="AB18" s="58" t="n">
        <x:f>IFERROR(H18/G18,"")</x:f>
        <x:v>1</x:v>
      </x:c>
      <x:c r="AC18" s="57" t="str"/>
      <x:c r="AD18" s="57" t="str"/>
      <x:c r="AE18" s="57" t="str"/>
      <x:c r="AF18" s="57" t="str"/>
      <x:c r="AG18" s="2"/>
      <x:c r="AH18" s="2"/>
    </x:row>
    <x:row r="19" ht="15.75" customHeight="1">
      <x:c r="A19" s="2" t="s">
        <x:v>66</x:v>
      </x:c>
      <x:c r="B19" s="2" t="s">
        <x:v>67</x:v>
      </x:c>
      <x:c r="C19" s="3" t="e">
        <x:f>HYPERLINK("https://scan.mypinata.cloud/ipfs/bafybeih3olry3is4e4lzm7rus5l3h6zrphcal5a7ayfkhzm5oivjro2cp4/#/address/0x77Bed67181CeF592472bcb7F97736c560340E006", "0x77Bed67181CeF592472bcb7F97736c560340E006")</x:f>
      </x:c>
      <x:c r="D19" s="4" t="str">
        <x:f t="shared" si="1"/>
        <x:v>Atropa Dev</x:v>
      </x:c>
      <x:c r="E19" s="4" t="e">
        <x:f>HYPERLINK("https://scan.mypinata.cloud/ipfs/bafybeih3olry3is4e4lzm7rus5l3h6zrphcal5a7ayfkhzm5oivjro2cp4/#/block/17692759", "17692759")</x:f>
      </x:c>
      <x:c r="F19" s="4" t="e">
        <x:f>HYPERLINK("https://scan.mypinata.cloud/ipfs/bafybeih3olry3is4e4lzm7rus5l3h6zrphcal5a7ayfkhzm5oivjro2cp4/#/tx/0x023c415ec42934967935b5ecb9f99a9742427c6fe5cd67f5469b9ef717bdbbd2", "2023-07-03 20:06:15")</x:f>
      </x:c>
      <x:c r="G19" s="5">
        <x:v>1.30871058130494944E17</x:v>
      </x:c>
      <x:c r="H19" s="5">
        <x:v>1.30871058130494944E17</x:v>
      </x:c>
      <x:c r="I19" s="5">
        <x:v>1.0181063967639971E15</x:v>
      </x:c>
      <x:c r="J19" s="5">
        <x:v>0.0</x:v>
      </x:c>
      <x:c r="K19" s="5">
        <x:v>1.30860877066527312E17</x:v>
      </x:c>
      <x:c r="L19" s="2" t="s">
        <x:v>28</x:v>
      </x:c>
      <x:c r="M19" s="4" t="e">
        <x:f>HYPERLINK("https://scan.mypinata.cloud/ipfs/bafybeih3olry3is4e4lzm7rus5l3h6zrphcal5a7ayfkhzm5oivjro2cp4/#/tx/0x75bfeddea5e44db3a9364f8c2ed62e0dc3acfd62776eb004d00aadc585305856", "2024-02-20 10:04:05")</x:f>
      </x:c>
      <x:c r="N19" s="2" t="e">
        <x:f>IFERROR(__xludf.DUMMYFUNCTION("IF(ISDATE(TO_DATE(L19)), MAX(0, ROUND(TODAY() - TO_DATE(L19)), 0), ""-"")"),"-")</x:f>
      </x:c>
      <x:c r="O19" s="2" t="e">
        <x:f>IFERROR(__xludf.DUMMYFUNCTION("IF(ISDATE(TO_DATE(M19)), MAX(0, ROUND(TODAY() - TO_DATE(M19)), 0), ""-"")"),864.0)</x:f>
      </x:c>
      <x:c r="P19" s="6">
        <x:v>2.461E-9</x:v>
      </x:c>
      <x:c r="Q19" s="6">
        <x:v>6.236E-5</x:v>
      </x:c>
      <x:c r="R19" s="7">
        <x:v>3.2207367405914806E10</x:v>
      </x:c>
      <x:c r="S19" s="7">
        <x:v>2506510.0</x:v>
      </x:c>
      <x:c r="T19" s="7">
        <x:v>1281.16</x:v>
      </x:c>
      <x:c r="U19" s="7">
        <x:v>42252.34999999999</x:v>
      </x:c>
      <x:c r="V19" s="2" t="s">
        <x:v>28</x:v>
      </x:c>
      <x:c r="W19" s="2" t="s">
        <x:v>28</x:v>
      </x:c>
      <x:c r="X19" s="2" t="s">
        <x:v>28</x:v>
      </x:c>
      <x:c r="Y19" s="2" t="s">
        <x:v>28</x:v>
      </x:c>
      <x:c r="Z19" s="9" t="s">
        <x:v>65</x:v>
      </x:c>
      <x:c r="AA19" s="57" t="str">
        <x:v>Snapshot only — run GitHub workflow</x:v>
      </x:c>
      <x:c r="AB19" s="58" t="n">
        <x:f>IFERROR(H19/G19,"")</x:f>
        <x:v>1</x:v>
      </x:c>
      <x:c r="AC19" s="57" t="str"/>
      <x:c r="AD19" s="57" t="str"/>
      <x:c r="AE19" s="57" t="str"/>
      <x:c r="AF19" s="57" t="str"/>
      <x:c r="AG19" s="2"/>
      <x:c r="AH19" s="2"/>
    </x:row>
    <x:row r="20" ht="15.75" customHeight="1">
      <x:c r="A20" s="2" t="s">
        <x:v>68</x:v>
      </x:c>
      <x:c r="B20" s="2" t="s">
        <x:v>68</x:v>
      </x:c>
      <x:c r="C20" s="3" t="e">
        <x:f>HYPERLINK("https://scan.mypinata.cloud/ipfs/bafybeih3olry3is4e4lzm7rus5l3h6zrphcal5a7ayfkhzm5oivjro2cp4/#/address/0xf69e9f943674027Cedf05564A8D5A01041d07c62", "0xf69e9f943674027Cedf05564A8D5A01041d07c62")</x:f>
      </x:c>
      <x:c r="D20" s="4" t="str">
        <x:f t="shared" si="1"/>
        <x:v>Atropa Dev</x:v>
      </x:c>
      <x:c r="E20" s="4" t="e">
        <x:f>HYPERLINK("https://scan.mypinata.cloud/ipfs/bafybeih3olry3is4e4lzm7rus5l3h6zrphcal5a7ayfkhzm5oivjro2cp4/#/block/18068780", "18068780")</x:f>
      </x:c>
      <x:c r="F20" s="4" t="e">
        <x:f>HYPERLINK("https://scan.mypinata.cloud/ipfs/bafybeih3olry3is4e4lzm7rus5l3h6zrphcal5a7ayfkhzm5oivjro2cp4/#/tx/0x561979f13ae93f5e14aaf0d3b12cc5d10aeee09a1fe5f4a003c9a75b3a5f951f", "2023-08-17 00:10:45")</x:f>
      </x:c>
      <x:c r="G20" s="5">
        <x:v>1.203456789E9</x:v>
      </x:c>
      <x:c r="H20" s="5">
        <x:v>1.203456789E9</x:v>
      </x:c>
      <x:c r="I20" s="5">
        <x:v>1.203456789E9</x:v>
      </x:c>
      <x:c r="J20" s="5">
        <x:v>0.0</x:v>
      </x:c>
      <x:c r="K20" s="5">
        <x:v>0.0</x:v>
      </x:c>
      <x:c r="L20" s="2" t="s">
        <x:v>28</x:v>
      </x:c>
      <x:c r="M20" s="2" t="s">
        <x:v>28</x:v>
      </x:c>
      <x:c r="N20" s="2" t="e">
        <x:f>IFERROR(__xludf.DUMMYFUNCTION("IF(ISDATE(TO_DATE(L20)), MAX(0, ROUND(TODAY() - TO_DATE(L20)), 0), ""-"")"),"-")</x:f>
      </x:c>
      <x:c r="O20" s="2" t="e">
        <x:f>IFERROR(__xludf.DUMMYFUNCTION("IF(ISDATE(TO_DATE(M20)), MAX(0, ROUND(TODAY() - TO_DATE(M20)), 0), ""-"")"),"-")</x:f>
      </x:c>
      <x:c r="P20" s="6">
        <x:v>0.001347</x:v>
      </x:c>
      <x:c r="Q20" s="6">
        <x:v>33.3931</x:v>
      </x:c>
      <x:c r="R20" s="7">
        <x:v>1621056.294783</x:v>
      </x:c>
      <x:c r="S20" s="7">
        <x:v>1621618.0</x:v>
      </x:c>
      <x:c r="T20" s="7">
        <x:v>3394.5600000000004</x:v>
      </x:c>
      <x:c r="U20" s="7">
        <x:v>2776688.0799999996</x:v>
      </x:c>
      <x:c r="V20" s="2" t="s">
        <x:v>28</x:v>
      </x:c>
      <x:c r="W20" s="2" t="s">
        <x:v>28</x:v>
      </x:c>
      <x:c r="X20" s="2" t="s">
        <x:v>28</x:v>
      </x:c>
      <x:c r="Y20" s="2" t="s">
        <x:v>28</x:v>
      </x:c>
      <x:c r="Z20" s="9" t="s">
        <x:v>53</x:v>
      </x:c>
      <x:c r="AA20" s="57" t="str">
        <x:v>Snapshot only — run GitHub workflow</x:v>
      </x:c>
      <x:c r="AB20" s="58" t="n">
        <x:f>IFERROR(H20/G20,"")</x:f>
        <x:v>1</x:v>
      </x:c>
      <x:c r="AC20" s="57" t="str"/>
      <x:c r="AD20" s="57" t="str"/>
      <x:c r="AE20" s="57" t="str"/>
      <x:c r="AF20" s="57" t="str"/>
      <x:c r="AG20" s="2"/>
      <x:c r="AH20" s="2"/>
    </x:row>
    <x:row r="21" ht="15.75" customHeight="1">
      <x:c r="A21" s="2" t="s">
        <x:v>69</x:v>
      </x:c>
      <x:c r="B21" s="2" t="s">
        <x:v>69</x:v>
      </x:c>
      <x:c r="C21" s="3" t="e">
        <x:f>HYPERLINK("https://scan.mypinata.cloud/ipfs/bafybeih3olry3is4e4lzm7rus5l3h6zrphcal5a7ayfkhzm5oivjro2cp4/#/address/0xA1BEe1daE9Af77dAC73aA0459eD63b4D93fC6d29", "0xA1BEe1daE9Af77dAC73aA0459eD63b4D93fC6d29")</x:f>
      </x:c>
      <x:c r="D21" s="4" t="str">
        <x:f t="shared" si="1"/>
        <x:v>Atropa Dev</x:v>
      </x:c>
      <x:c r="E21" s="4" t="e">
        <x:f>HYPERLINK("https://scan.mypinata.cloud/ipfs/bafybeih3olry3is4e4lzm7rus5l3h6zrphcal5a7ayfkhzm5oivjro2cp4/#/block/18216969", "18216969")</x:f>
      </x:c>
      <x:c r="F21" s="4" t="e">
        <x:f>HYPERLINK("https://scan.mypinata.cloud/ipfs/bafybeih3olry3is4e4lzm7rus5l3h6zrphcal5a7ayfkhzm5oivjro2cp4/#/tx/0x915766bb5a6b4f55282f5b82959b7af1b3b040946fdd354c8d845daabb856e45", "2023-09-03 09:53:25")</x:f>
      </x:c>
      <x:c r="G21" s="5">
        <x:v>0.0</x:v>
      </x:c>
      <x:c r="H21" s="5">
        <x:v>8.765988793422421E8</x:v>
      </x:c>
      <x:c r="I21" s="5">
        <x:v>3.269640616524079E8</x:v>
      </x:c>
      <x:c r="J21" s="5">
        <x:v>3.2696406165240787E17</x:v>
      </x:c>
      <x:c r="K21" s="5">
        <x:v>5.496348176898344E8</x:v>
      </x:c>
      <x:c r="L21" s="4" t="e">
        <x:f>HYPERLINK("https://scan.mypinata.cloud/ipfs/bafybeih3olry3is4e4lzm7rus5l3h6zrphcal5a7ayfkhzm5oivjro2cp4/#/tx/0xa97e1aa0781015804ffd85f713dab50704f7425cd9fb0ee0f933101fb10ff828", "2025-02-22 05:30:55")</x:f>
      </x:c>
      <x:c r="M21" s="4" t="e">
        <x:f>HYPERLINK("https://scan.mypinata.cloud/ipfs/bafybeih3olry3is4e4lzm7rus5l3h6zrphcal5a7ayfkhzm5oivjro2cp4/#/tx/0xb3fa43b519e3dece3a14dc027b00c1585d540334c2b851bdc25ccca2362057e8", "2025-02-27 08:29:15")</x:f>
      </x:c>
      <x:c r="N21" s="2" t="e">
        <x:f>IFERROR(__xludf.DUMMYFUNCTION("IF(ISDATE(TO_DATE(L21)), MAX(0, ROUND(TODAY() - TO_DATE(L21)), 0), ""-"")"),496.0)</x:f>
      </x:c>
      <x:c r="O21" s="2" t="e">
        <x:f>IFERROR(__xludf.DUMMYFUNCTION("IF(ISDATE(TO_DATE(M21)), MAX(0, ROUND(TODAY() - TO_DATE(M21)), 0), ""-"")"),491.0)</x:f>
      </x:c>
      <x:c r="P21" s="6">
        <x:v>9.544E-4</x:v>
      </x:c>
      <x:c r="Q21" s="6">
        <x:v>24.101</x:v>
      </x:c>
      <x:c r="R21" s="7">
        <x:v>836625.970444236</x:v>
      </x:c>
      <x:c r="S21" s="7">
        <x:v>280683.0</x:v>
      </x:c>
      <x:c r="T21" s="7">
        <x:v>5497.4800000000005</x:v>
      </x:c>
      <x:c r="U21" s="7">
        <x:v>96153.28999999996</x:v>
      </x:c>
      <x:c r="V21" s="2" t="s">
        <x:v>28</x:v>
      </x:c>
      <x:c r="W21" s="2" t="s">
        <x:v>28</x:v>
      </x:c>
      <x:c r="X21" s="2" t="s">
        <x:v>28</x:v>
      </x:c>
      <x:c r="Y21" s="2" t="s">
        <x:v>28</x:v>
      </x:c>
      <x:c r="Z21" s="9" t="s">
        <x:v>65</x:v>
      </x:c>
      <x:c r="AA21" s="57" t="str">
        <x:v>Snapshot only — run GitHub workflow</x:v>
      </x:c>
      <x:c r="AB21" s="58" t="str">
        <x:f>IFERROR(H21/G21,"")</x:f>
      </x:c>
      <x:c r="AC21" s="57" t="str"/>
      <x:c r="AD21" s="57" t="str"/>
      <x:c r="AE21" s="57" t="str"/>
      <x:c r="AF21" s="57" t="str"/>
      <x:c r="AG21" s="2"/>
      <x:c r="AH21" s="2"/>
    </x:row>
    <x:row r="22" ht="15.75" customHeight="1">
      <x:c r="A22" s="2" t="s">
        <x:v>70</x:v>
      </x:c>
      <x:c r="B22" s="2" t="s">
        <x:v>71</x:v>
      </x:c>
      <x:c r="C22" s="3" t="e">
        <x:f>HYPERLINK("https://scan.mypinata.cloud/ipfs/bafybeih3olry3is4e4lzm7rus5l3h6zrphcal5a7ayfkhzm5oivjro2cp4/#/address/0x4144f4bfB114e257333EFf57271E8F1106631ff4", "0x4144f4bfB114e257333EFf57271E8F1106631ff4")</x:f>
      </x:c>
      <x:c r="D22" s="4" t="str">
        <x:f t="shared" si="1"/>
        <x:v>Atropa Dev</x:v>
      </x:c>
      <x:c r="E22" s="4" t="e">
        <x:f>HYPERLINK("https://scan.mypinata.cloud/ipfs/bafybeih3olry3is4e4lzm7rus5l3h6zrphcal5a7ayfkhzm5oivjro2cp4/#/block/18221295", "18221295")</x:f>
      </x:c>
      <x:c r="F22" s="4" t="e">
        <x:f>HYPERLINK("https://scan.mypinata.cloud/ipfs/bafybeih3olry3is4e4lzm7rus5l3h6zrphcal5a7ayfkhzm5oivjro2cp4/#/tx/0x6a9a12b0ffa5b48946d303f7c5ebcda3ef495702c4db50981b00d5a455a093b6", "2023-09-03 21:56:45")</x:f>
      </x:c>
      <x:c r="G22" s="5">
        <x:v>0.0</x:v>
      </x:c>
      <x:c r="H22" s="10" t="s">
        <x:v>72</x:v>
      </x:c>
      <x:c r="I22" s="5">
        <x:v>0.0</x:v>
      </x:c>
      <x:c r="J22" s="5">
        <x:v>0.0</x:v>
      </x:c>
      <x:c r="K22" s="10" t="s">
        <x:v>72</x:v>
      </x:c>
      <x:c r="L22" s="4" t="e">
        <x:f>HYPERLINK("https://scan.mypinata.cloud/ipfs/bafybeih3olry3is4e4lzm7rus5l3h6zrphcal5a7ayfkhzm5oivjro2cp4/#/tx/0x50276a7d415c1a576220c92b737b979ad213afdb883da957dceef80e6667498c", "2023-09-03 22:28:55")</x:f>
      </x:c>
      <x:c r="M22" s="4" t="e">
        <x:f>HYPERLINK("https://scan.mypinata.cloud/ipfs/bafybeih3olry3is4e4lzm7rus5l3h6zrphcal5a7ayfkhzm5oivjro2cp4/#/tx/0x40c27650cf262fdefa12bb890b4a6ea315d37d823c8bdfb93c498a057b431277", "2023-09-03 22:33:05")</x:f>
      </x:c>
      <x:c r="N22" s="2" t="e">
        <x:f>IFERROR(__xludf.DUMMYFUNCTION("IF(ISDATE(TO_DATE(L22)), MAX(0, ROUND(TODAY() - TO_DATE(L22)), 0), ""-"")"),1033.0)</x:f>
      </x:c>
      <x:c r="O22" s="2" t="e">
        <x:f>IFERROR(__xludf.DUMMYFUNCTION("IF(ISDATE(TO_DATE(M22)), MAX(0, ROUND(TODAY() - TO_DATE(M22)), 0), ""-"")"),1033.0)</x:f>
      </x:c>
      <x:c r="P22" s="2" t="s">
        <x:v>28</x:v>
      </x:c>
      <x:c r="Q22" s="2" t="s">
        <x:v>28</x:v>
      </x:c>
      <x:c r="R22" s="2" t="s">
        <x:v>28</x:v>
      </x:c>
      <x:c r="S22" s="2" t="s">
        <x:v>28</x:v>
      </x:c>
      <x:c r="T22" s="2" t="s">
        <x:v>28</x:v>
      </x:c>
      <x:c r="U22" s="2" t="s">
        <x:v>28</x:v>
      </x:c>
      <x:c r="V22" s="2" t="s">
        <x:v>28</x:v>
      </x:c>
      <x:c r="W22" s="2" t="s">
        <x:v>28</x:v>
      </x:c>
      <x:c r="X22" s="2" t="s">
        <x:v>28</x:v>
      </x:c>
      <x:c r="Y22" s="2" t="s">
        <x:v>28</x:v>
      </x:c>
      <x:c r="Z22" s="9" t="s">
        <x:v>65</x:v>
      </x:c>
      <x:c r="AA22" s="57" t="str">
        <x:v>Snapshot only — run GitHub workflow</x:v>
      </x:c>
      <x:c r="AB22" s="58" t="str">
        <x:f>IFERROR(H22/G22,"")</x:f>
      </x:c>
      <x:c r="AC22" s="57" t="str"/>
      <x:c r="AD22" s="57" t="str"/>
      <x:c r="AE22" s="57" t="str"/>
      <x:c r="AF22" s="57" t="str"/>
      <x:c r="AG22" s="2"/>
      <x:c r="AH22" s="2"/>
    </x:row>
    <x:row r="23" ht="15.75" customHeight="1">
      <x:c r="A23" s="2" t="s">
        <x:v>70</x:v>
      </x:c>
      <x:c r="B23" s="2" t="s">
        <x:v>71</x:v>
      </x:c>
      <x:c r="C23" s="3" t="e">
        <x:f>HYPERLINK("https://scan.mypinata.cloud/ipfs/bafybeih3olry3is4e4lzm7rus5l3h6zrphcal5a7ayfkhzm5oivjro2cp4/#/address/0x2959221675bdF0e59D0cC3dE834a998FA5fFb9F4", "0x2959221675bdF0e59D0cC3dE834a998FA5fFb9F4")</x:f>
      </x:c>
      <x:c r="D23" s="4" t="str">
        <x:f t="shared" si="1"/>
        <x:v>Atropa Dev</x:v>
      </x:c>
      <x:c r="E23" s="4" t="e">
        <x:f>HYPERLINK("https://scan.mypinata.cloud/ipfs/bafybeih3olry3is4e4lzm7rus5l3h6zrphcal5a7ayfkhzm5oivjro2cp4/#/block/18221520", "18221520")</x:f>
      </x:c>
      <x:c r="F23" s="4" t="e">
        <x:f>HYPERLINK("https://scan.mypinata.cloud/ipfs/bafybeih3olry3is4e4lzm7rus5l3h6zrphcal5a7ayfkhzm5oivjro2cp4/#/tx/0x4b673d2306353247054d85954f9712473b9b8c8130a312266377adcf9623e9ff", "2023-09-03 22:34:25")</x:f>
      </x:c>
      <x:c r="G23" s="5">
        <x:v>0.0</x:v>
      </x:c>
      <x:c r="H23" s="5">
        <x:v>879599.6215304673</x:v>
      </x:c>
      <x:c r="I23" s="5">
        <x:v>879599.6215304673</x:v>
      </x:c>
      <x:c r="J23" s="5">
        <x:v>8.795996215304672E17</x:v>
      </x:c>
      <x:c r="K23" s="10" t="s">
        <x:v>73</x:v>
      </x:c>
      <x:c r="L23" s="4" t="e">
        <x:f>HYPERLINK("https://scan.mypinata.cloud/ipfs/bafybeih3olry3is4e4lzm7rus5l3h6zrphcal5a7ayfkhzm5oivjro2cp4/#/tx/0x519536bbc16a555436e2cb14adcd68a3a24d40798fec509ab48fbbbef6b4e1c4", "2024-12-14 02:44:05")</x:f>
      </x:c>
      <x:c r="M23" s="4" t="e">
        <x:f>HYPERLINK("https://scan.mypinata.cloud/ipfs/bafybeih3olry3is4e4lzm7rus5l3h6zrphcal5a7ayfkhzm5oivjro2cp4/#/tx/0x976ca6d2540b140c8b3205b2b80c4b7317eac6cbab982f9cd829ba0a23ce46cf", "2024-12-27 15:31:25")</x:f>
      </x:c>
      <x:c r="N23" s="2" t="e">
        <x:f>IFERROR(__xludf.DUMMYFUNCTION("IF(ISDATE(TO_DATE(L23)), MAX(0, ROUND(TODAY() - TO_DATE(L23)), 0), ""-"")"),566.0)</x:f>
      </x:c>
      <x:c r="O23" s="2" t="e">
        <x:f>IFERROR(__xludf.DUMMYFUNCTION("IF(ISDATE(TO_DATE(M23)), MAX(0, ROUND(TODAY() - TO_DATE(M23)), 0), ""-"")"),552.0)</x:f>
      </x:c>
      <x:c r="P23" s="6">
        <x:v>1.54</x:v>
      </x:c>
      <x:c r="Q23" s="6">
        <x:v>39162.3391</x:v>
      </x:c>
      <x:c r="R23" s="7">
        <x:v>1354583.4171569196</x:v>
      </x:c>
      <x:c r="S23" s="7">
        <x:v>1362950.0</x:v>
      </x:c>
      <x:c r="T23" s="7">
        <x:v>2718.51</x:v>
      </x:c>
      <x:c r="U23" s="7">
        <x:v>1914981.3699999999</x:v>
      </x:c>
      <x:c r="V23" s="2" t="s">
        <x:v>28</x:v>
      </x:c>
      <x:c r="W23" s="2" t="s">
        <x:v>28</x:v>
      </x:c>
      <x:c r="X23" s="2" t="s">
        <x:v>28</x:v>
      </x:c>
      <x:c r="Y23" s="2" t="s">
        <x:v>28</x:v>
      </x:c>
      <x:c r="Z23" s="9" t="s">
        <x:v>53</x:v>
      </x:c>
      <x:c r="AA23" s="57" t="str">
        <x:v>Snapshot only — run GitHub workflow</x:v>
      </x:c>
      <x:c r="AB23" s="58" t="str">
        <x:f>IFERROR(H23/G23,"")</x:f>
      </x:c>
      <x:c r="AC23" s="57" t="str"/>
      <x:c r="AD23" s="57" t="str"/>
      <x:c r="AE23" s="57" t="str"/>
      <x:c r="AF23" s="57" t="str"/>
      <x:c r="AG23" s="2"/>
      <x:c r="AH23" s="2"/>
    </x:row>
    <x:row r="24" ht="15.75" customHeight="1">
      <x:c r="A24" s="2" t="s">
        <x:v>74</x:v>
      </x:c>
      <x:c r="B24" s="2" t="s">
        <x:v>75</x:v>
      </x:c>
      <x:c r="C24" s="3" t="e">
        <x:f>HYPERLINK("https://scan.mypinata.cloud/ipfs/bafybeih3olry3is4e4lzm7rus5l3h6zrphcal5a7ayfkhzm5oivjro2cp4/#/address/0xd63bE074cA7D8Dba78b8BBfF7875582DB0F28233", "0xd63bE074cA7D8Dba78b8BBfF7875582DB0F28233")</x:f>
      </x:c>
      <x:c r="D24" s="4" t="str">
        <x:f t="shared" si="1"/>
        <x:v>Atropa Dev</x:v>
      </x:c>
      <x:c r="E24" s="4" t="e">
        <x:f>HYPERLINK("https://scan.mypinata.cloud/ipfs/bafybeih3olry3is4e4lzm7rus5l3h6zrphcal5a7ayfkhzm5oivjro2cp4/#/block/18229439", "18229439")</x:f>
      </x:c>
      <x:c r="F24" s="4" t="e">
        <x:f>HYPERLINK("https://scan.mypinata.cloud/ipfs/bafybeih3olry3is4e4lzm7rus5l3h6zrphcal5a7ayfkhzm5oivjro2cp4/#/tx/0x896a98913a17c754f5c99b854dac17ae17438f1aeec2e8f8da2e9b702e498cc6", "2023-09-04 20:38:15")</x:f>
      </x:c>
      <x:c r="G24" s="5">
        <x:v>0.0</x:v>
      </x:c>
      <x:c r="H24" s="5">
        <x:v>0.0</x:v>
      </x:c>
      <x:c r="I24" s="5">
        <x:v>0.0</x:v>
      </x:c>
      <x:c r="J24" s="5">
        <x:v>0.0</x:v>
      </x:c>
      <x:c r="K24" s="5">
        <x:v>0.0</x:v>
      </x:c>
      <x:c r="L24" s="2" t="s">
        <x:v>28</x:v>
      </x:c>
      <x:c r="M24" s="2" t="s">
        <x:v>28</x:v>
      </x:c>
      <x:c r="N24" s="2" t="e">
        <x:f>IFERROR(__xludf.DUMMYFUNCTION("IF(ISDATE(TO_DATE(L24)), MAX(0, ROUND(TODAY() - TO_DATE(L24)), 0), ""-"")"),"-")</x:f>
      </x:c>
      <x:c r="O24" s="2" t="e">
        <x:f>IFERROR(__xludf.DUMMYFUNCTION("IF(ISDATE(TO_DATE(M24)), MAX(0, ROUND(TODAY() - TO_DATE(M24)), 0), ""-"")"),"-")</x:f>
      </x:c>
      <x:c r="P24" s="2" t="s">
        <x:v>28</x:v>
      </x:c>
      <x:c r="Q24" s="2" t="s">
        <x:v>28</x:v>
      </x:c>
      <x:c r="R24" s="2" t="s">
        <x:v>28</x:v>
      </x:c>
      <x:c r="S24" s="2" t="s">
        <x:v>28</x:v>
      </x:c>
      <x:c r="T24" s="2" t="s">
        <x:v>28</x:v>
      </x:c>
      <x:c r="U24" s="2" t="s">
        <x:v>28</x:v>
      </x:c>
      <x:c r="V24" s="2" t="s">
        <x:v>28</x:v>
      </x:c>
      <x:c r="W24" s="2" t="s">
        <x:v>28</x:v>
      </x:c>
      <x:c r="X24" s="2" t="s">
        <x:v>28</x:v>
      </x:c>
      <x:c r="Y24" s="2" t="s">
        <x:v>28</x:v>
      </x:c>
      <x:c r="Z24" s="9" t="s">
        <x:v>76</x:v>
      </x:c>
      <x:c r="AA24" s="57" t="str">
        <x:v>Snapshot only — run GitHub workflow</x:v>
      </x:c>
      <x:c r="AB24" s="58" t="str">
        <x:f>IFERROR(H24/G24,"")</x:f>
      </x:c>
      <x:c r="AC24" s="57" t="str"/>
      <x:c r="AD24" s="57" t="str"/>
      <x:c r="AE24" s="57" t="str"/>
      <x:c r="AF24" s="57" t="str"/>
      <x:c r="AG24" s="2"/>
      <x:c r="AH24" s="2"/>
    </x:row>
    <x:row r="25" ht="15.75" customHeight="1">
      <x:c r="A25" s="2" t="s">
        <x:v>74</x:v>
      </x:c>
      <x:c r="B25" s="2" t="s">
        <x:v>75</x:v>
      </x:c>
      <x:c r="C25" s="3" t="e">
        <x:f>HYPERLINK("https://scan.mypinata.cloud/ipfs/bafybeih3olry3is4e4lzm7rus5l3h6zrphcal5a7ayfkhzm5oivjro2cp4/#/address/0x1f737F7994811fE994Fe72957C374e5cD5D5418A", "0x1f737F7994811fE994Fe72957C374e5cD5D5418A")</x:f>
      </x:c>
      <x:c r="D25" s="4" t="str">
        <x:f t="shared" si="1"/>
        <x:v>Atropa Dev</x:v>
      </x:c>
      <x:c r="E25" s="4" t="e">
        <x:f>HYPERLINK("https://scan.mypinata.cloud/ipfs/bafybeih3olry3is4e4lzm7rus5l3h6zrphcal5a7ayfkhzm5oivjro2cp4/#/block/18229617", "18229617")</x:f>
      </x:c>
      <x:c r="F25" s="4" t="e">
        <x:f>HYPERLINK("https://scan.mypinata.cloud/ipfs/bafybeih3olry3is4e4lzm7rus5l3h6zrphcal5a7ayfkhzm5oivjro2cp4/#/tx/0x0daf3b72d0685d89b00b845c510942bc4a33a20f2991fa793d48fb4897e618f5", "2023-09-04 21:07:55")</x:f>
      </x:c>
      <x:c r="G25" s="5">
        <x:v>0.0</x:v>
      </x:c>
      <x:c r="H25" s="5">
        <x:v>16.0</x:v>
      </x:c>
      <x:c r="I25" s="5">
        <x:v>16.0</x:v>
      </x:c>
      <x:c r="J25" s="5">
        <x:v>1.6E17</x:v>
      </x:c>
      <x:c r="K25" s="5">
        <x:v>0.0</x:v>
      </x:c>
      <x:c r="L25" s="4" t="e">
        <x:f>HYPERLINK("https://scan.mypinata.cloud/ipfs/bafybeih3olry3is4e4lzm7rus5l3h6zrphcal5a7ayfkhzm5oivjro2cp4/#/tx/0x17341f4220c20c63130a9b6b6a3dcb8f3e9a13fb3cd69588b8f74ae223efb2a1", "2024-04-30 17:31:05")</x:f>
      </x:c>
      <x:c r="M25" s="2" t="s">
        <x:v>28</x:v>
      </x:c>
      <x:c r="N25" s="2" t="e">
        <x:f>IFERROR(__xludf.DUMMYFUNCTION("IF(ISDATE(TO_DATE(L25)), MAX(0, ROUND(TODAY() - TO_DATE(L25)), 0), ""-"")"),793.0)</x:f>
      </x:c>
      <x:c r="O25" s="2" t="e">
        <x:f>IFERROR(__xludf.DUMMYFUNCTION("IF(ISDATE(TO_DATE(M25)), MAX(0, ROUND(TODAY() - TO_DATE(M25)), 0), ""-"")"),"-")</x:f>
      </x:c>
      <x:c r="P25" s="6">
        <x:v>102645.73</x:v>
      </x:c>
      <x:c r="Q25" s="6">
        <x:v>2.5630138718077E9</x:v>
      </x:c>
      <x:c r="R25" s="7">
        <x:v>1642331.68</x:v>
      </x:c>
      <x:c r="S25" s="7">
        <x:v>1642332.0</x:v>
      </x:c>
      <x:c r="T25" s="7">
        <x:v>1982.8100000000002</x:v>
      </x:c>
      <x:c r="U25" s="7">
        <x:v>184071.92</x:v>
      </x:c>
      <x:c r="V25" s="2" t="s">
        <x:v>28</x:v>
      </x:c>
      <x:c r="W25" s="2" t="s">
        <x:v>28</x:v>
      </x:c>
      <x:c r="X25" s="2" t="s">
        <x:v>28</x:v>
      </x:c>
      <x:c r="Y25" s="2" t="s">
        <x:v>28</x:v>
      </x:c>
      <x:c r="Z25" s="9" t="s">
        <x:v>76</x:v>
      </x:c>
      <x:c r="AA25" s="57" t="str">
        <x:v>Snapshot only — run GitHub workflow</x:v>
      </x:c>
      <x:c r="AB25" s="58" t="str">
        <x:f>IFERROR(H25/G25,"")</x:f>
      </x:c>
      <x:c r="AC25" s="57" t="str"/>
      <x:c r="AD25" s="57" t="str"/>
      <x:c r="AE25" s="57" t="str"/>
      <x:c r="AF25" s="57" t="str"/>
      <x:c r="AG25" s="2"/>
      <x:c r="AH25" s="2"/>
    </x:row>
    <x:row r="26" ht="15.75" customHeight="1">
      <x:c r="A26" s="12" t="s">
        <x:v>77</x:v>
      </x:c>
      <x:c r="B26" s="12" t="s">
        <x:v>78</x:v>
      </x:c>
      <x:c r="C26" s="13" t="e">
        <x:f>HYPERLINK("https://scan.mypinata.cloud/ipfs/bafybeih3olry3is4e4lzm7rus5l3h6zrphcal5a7ayfkhzm5oivjro2cp4/#/address/0x25d53961a27791B9D8b2d74FB3e937c8EAEadc38", "0x25d53961a27791B9D8b2d74FB3e937c8EAEadc38")</x:f>
      </x:c>
      <x:c r="D26" s="14" t="str">
        <x:f t="shared" si="1"/>
        <x:v>Atropa Dev</x:v>
      </x:c>
      <x:c r="E26" s="14" t="e">
        <x:f>HYPERLINK("https://scan.mypinata.cloud/ipfs/bafybeih3olry3is4e4lzm7rus5l3h6zrphcal5a7ayfkhzm5oivjro2cp4/#/block/18235672", "18235672")</x:f>
      </x:c>
      <x:c r="F26" s="14" t="e">
        <x:f>HYPERLINK("https://scan.mypinata.cloud/ipfs/bafybeih3olry3is4e4lzm7rus5l3h6zrphcal5a7ayfkhzm5oivjro2cp4/#/tx/0x65846c31c3da409179a052d025ad9a2a445ba32d1c819af9dd4955f3330d6cce", "2023-09-05 14:00:05")</x:f>
      </x:c>
      <x:c r="G26" s="15">
        <x:v>0.0</x:v>
      </x:c>
      <x:c r="H26" s="15">
        <x:v>286.0</x:v>
      </x:c>
      <x:c r="I26" s="15">
        <x:v>285.9994858527838</x:v>
      </x:c>
      <x:c r="J26" s="15">
        <x:v>2.85999485852783776E17</x:v>
      </x:c>
      <x:c r="K26" s="15">
        <x:v>5.141472162225E-4</x:v>
      </x:c>
      <x:c r="L26" s="14" t="e">
        <x:f>HYPERLINK("https://scan.mypinata.cloud/ipfs/bafybeih3olry3is4e4lzm7rus5l3h6zrphcal5a7ayfkhzm5oivjro2cp4/#/tx/0x4169b75f7c8778a80db871c7ffe0cd8fe85073225c39f73ec1d2a218803b5d7d", "2024-11-22 21:22:05")</x:f>
      </x:c>
      <x:c r="M26" s="14" t="e">
        <x:f>HYPERLINK("https://scan.mypinata.cloud/ipfs/bafybeih3olry3is4e4lzm7rus5l3h6zrphcal5a7ayfkhzm5oivjro2cp4/#/tx/0x4c5fad8c814f276689a421cd00dda2f117762fd159a3e169f7c27b241f6ccd56", "2023-09-19 08:39:45")</x:f>
      </x:c>
      <x:c r="N26" s="16" t="e">
        <x:f>IFERROR(__xludf.DUMMYFUNCTION("IF(ISDATE(TO_DATE(L26)), MAX(0, ROUND(TODAY() - TO_DATE(L26)), 0), ""-"")"),587.0)</x:f>
      </x:c>
      <x:c r="O26" s="16" t="e">
        <x:f>IFERROR(__xludf.DUMMYFUNCTION("IF(ISDATE(TO_DATE(M26)), MAX(0, ROUND(TODAY() - TO_DATE(M26)), 0), ""-"")"),1018.0)</x:f>
      </x:c>
      <x:c r="P26" s="17">
        <x:v>400.25</x:v>
      </x:c>
      <x:c r="Q26" s="17">
        <x:v>1.0056255008731E7</x:v>
      </x:c>
      <x:c r="R26" s="18">
        <x:v>114471.5</x:v>
      </x:c>
      <x:c r="S26" s="18">
        <x:v>114472.0</x:v>
      </x:c>
      <x:c r="T26" s="18">
        <x:v>1002.3100000000001</x:v>
      </x:c>
      <x:c r="U26" s="18">
        <x:v>81997.88</x:v>
      </x:c>
      <x:c r="V26" s="16" t="s">
        <x:v>28</x:v>
      </x:c>
      <x:c r="W26" s="16" t="s">
        <x:v>28</x:v>
      </x:c>
      <x:c r="X26" s="16" t="s">
        <x:v>28</x:v>
      </x:c>
      <x:c r="Y26" s="16" t="s">
        <x:v>28</x:v>
      </x:c>
      <x:c r="Z26" s="19" t="s">
        <x:v>76</x:v>
      </x:c>
      <x:c r="AA26" s="37" t="str">
        <x:v>Snapshot only — run GitHub workflow</x:v>
      </x:c>
      <x:c r="AB26" s="59" t="str">
        <x:f>IFERROR(H26/G26,"")</x:f>
      </x:c>
      <x:c r="AC26" s="37" t="str"/>
      <x:c r="AD26" s="37" t="str"/>
      <x:c r="AE26" s="37" t="str"/>
      <x:c r="AF26" s="37" t="str"/>
      <x:c r="AG26" s="16"/>
      <x:c r="AH26" s="16"/>
    </x:row>
    <x:row r="27" ht="15.75" customHeight="1">
      <x:c r="A27" s="11" t="s">
        <x:v>79</x:v>
      </x:c>
      <x:c r="B27" s="11" t="s">
        <x:v>80</x:v>
      </x:c>
      <x:c r="C27" s="3" t="e">
        <x:f>HYPERLINK("https://scan.mypinata.cloud/ipfs/bafybeih3olry3is4e4lzm7rus5l3h6zrphcal5a7ayfkhzm5oivjro2cp4/#/address/0x26D5906c4Cdf8C9F09CBd94049f99deaa874fB0b", "0x26D5906c4Cdf8C9F09CBd94049f99deaa874fB0b")</x:f>
      </x:c>
      <x:c r="D27" s="4" t="str">
        <x:f t="shared" si="1"/>
        <x:v>Atropa Dev</x:v>
      </x:c>
      <x:c r="E27" s="4" t="e">
        <x:f>HYPERLINK("https://scan.mypinata.cloud/ipfs/bafybeih3olry3is4e4lzm7rus5l3h6zrphcal5a7ayfkhzm5oivjro2cp4/#/block/18244726", "18244726")</x:f>
      </x:c>
      <x:c r="F27" s="4" t="e">
        <x:f>HYPERLINK("https://scan.mypinata.cloud/ipfs/bafybeih3olry3is4e4lzm7rus5l3h6zrphcal5a7ayfkhzm5oivjro2cp4/#/tx/0x94f8808d0ff82730fec93467d1714bdba2a012a10f3ade9e4a0c10ab7f6f39ab", "2023-09-06 15:11:45")</x:f>
      </x:c>
      <x:c r="G27" s="5">
        <x:v>0.0</x:v>
      </x:c>
      <x:c r="H27" s="5">
        <x:v>1.0</x:v>
      </x:c>
      <x:c r="I27" s="5">
        <x:v>0.9999998372169767</x:v>
      </x:c>
      <x:c r="J27" s="5">
        <x:v>9.9999983721697677E17</x:v>
      </x:c>
      <x:c r="K27" s="10" t="s">
        <x:v>81</x:v>
      </x:c>
      <x:c r="L27" s="4" t="e">
        <x:f>HYPERLINK("https://scan.mypinata.cloud/ipfs/bafybeih3olry3is4e4lzm7rus5l3h6zrphcal5a7ayfkhzm5oivjro2cp4/#/tx/0x3cc176db0c547a9bd5658048d4d10150b066cabb85ce4e552fea145764ae2973", "2023-09-06 15:21:35")</x:f>
      </x:c>
      <x:c r="M27" s="4" t="e">
        <x:f>HYPERLINK("https://scan.mypinata.cloud/ipfs/bafybeih3olry3is4e4lzm7rus5l3h6zrphcal5a7ayfkhzm5oivjro2cp4/#/tx/0x8f1085e797b6058c1a921d8ecf576a46f96932ab99028d2ad11443c99fed6327", "2024-03-05 03:03:05")</x:f>
      </x:c>
      <x:c r="N27" s="2" t="e">
        <x:f>IFERROR(__xludf.DUMMYFUNCTION("IF(ISDATE(TO_DATE(L27)), MAX(0, ROUND(TODAY() - TO_DATE(L27)), 0), ""-"")"),1030.0)</x:f>
      </x:c>
      <x:c r="O27" s="2" t="e">
        <x:f>IFERROR(__xludf.DUMMYFUNCTION("IF(ISDATE(TO_DATE(M27)), MAX(0, ROUND(TODAY() - TO_DATE(M27)), 0), ""-"")"),850.0)</x:f>
      </x:c>
      <x:c r="P27" s="6">
        <x:v>705687.68</x:v>
      </x:c>
      <x:c r="Q27" s="6">
        <x:v>1.78152965907268E10</x:v>
      </x:c>
      <x:c r="R27" s="7">
        <x:v>705687.68</x:v>
      </x:c>
      <x:c r="S27" s="7">
        <x:v>705688.0</x:v>
      </x:c>
      <x:c r="T27" s="7">
        <x:v>3216.6200000000003</x:v>
      </x:c>
      <x:c r="U27" s="7">
        <x:v>594241.1000000001</x:v>
      </x:c>
      <x:c r="V27" s="8" t="n">
        <x:f t="array" ref="V27">0.2%</x:f>
        <x:v>0.002</x:v>
      </x:c>
      <x:c r="W27" s="8" t="n">
        <x:f t="array" ref="W27">-0.32%</x:f>
        <x:v>-0.0032</x:v>
      </x:c>
      <x:c r="X27" s="8" t="n">
        <x:f t="array" ref="X27">-3.77%</x:f>
        <x:v>-0.0377</x:v>
      </x:c>
      <x:c r="Y27" s="8" t="n">
        <x:f t="array" ref="Y27">-4.42%</x:f>
        <x:v>-0.044199999999999996</x:v>
      </x:c>
      <x:c r="Z27" s="9" t="s">
        <x:v>76</x:v>
      </x:c>
      <x:c r="AA27" s="57" t="str">
        <x:v>Snapshot only — run GitHub workflow</x:v>
      </x:c>
      <x:c r="AB27" s="58" t="str">
        <x:f>IFERROR(H27/G27,"")</x:f>
      </x:c>
      <x:c r="AC27" s="57" t="str"/>
      <x:c r="AD27" s="57" t="str"/>
      <x:c r="AE27" s="57" t="str"/>
      <x:c r="AF27" s="57" t="str"/>
      <x:c r="AG27" s="2"/>
      <x:c r="AH27" s="2"/>
    </x:row>
    <x:row r="28" ht="15.75" customHeight="1">
      <x:c r="A28" s="2" t="s">
        <x:v>82</x:v>
      </x:c>
      <x:c r="B28" s="2" t="s">
        <x:v>83</x:v>
      </x:c>
      <x:c r="C28" s="3" t="e">
        <x:f>HYPERLINK("https://scan.mypinata.cloud/ipfs/bafybeih3olry3is4e4lzm7rus5l3h6zrphcal5a7ayfkhzm5oivjro2cp4/#/address/0xD4FD96BA83d3E6FF1A0Baa44c32Def94e641D97c", "0xD4FD96BA83d3E6FF1A0Baa44c32Def94e641D97c")</x:f>
      </x:c>
      <x:c r="D28" s="4" t="str">
        <x:f t="shared" si="1"/>
        <x:v>Atropa Dev</x:v>
      </x:c>
      <x:c r="E28" s="4" t="e">
        <x:f>HYPERLINK("https://scan.mypinata.cloud/ipfs/bafybeih3olry3is4e4lzm7rus5l3h6zrphcal5a7ayfkhzm5oivjro2cp4/#/block/18268794", "18268794")</x:f>
      </x:c>
      <x:c r="F28" s="4" t="e">
        <x:f>HYPERLINK("https://scan.mypinata.cloud/ipfs/bafybeih3olry3is4e4lzm7rus5l3h6zrphcal5a7ayfkhzm5oivjro2cp4/#/tx/0x1270a988075a0724016fbf54fcbfdda2f127237b6f5ba6f295933785ca86cefc", "2023-09-09 14:24:15")</x:f>
      </x:c>
      <x:c r="G28" s="5">
        <x:v>0.0</x:v>
      </x:c>
      <x:c r="H28" s="5">
        <x:v>862.0</x:v>
      </x:c>
      <x:c r="I28" s="5">
        <x:v>862.0</x:v>
      </x:c>
      <x:c r="J28" s="5">
        <x:v>8.62E17</x:v>
      </x:c>
      <x:c r="K28" s="5">
        <x:v>0.0</x:v>
      </x:c>
      <x:c r="L28" s="4" t="e">
        <x:f>HYPERLINK("https://scan.mypinata.cloud/ipfs/bafybeih3olry3is4e4lzm7rus5l3h6zrphcal5a7ayfkhzm5oivjro2cp4/#/tx/0x70c7395e57389b018840e1c076bba05e3a7f8d902918ab78fec5191959fa5fe7", "2024-04-27 16:35:45")</x:f>
      </x:c>
      <x:c r="M28" s="2" t="s">
        <x:v>28</x:v>
      </x:c>
      <x:c r="N28" s="2" t="e">
        <x:f>IFERROR(__xludf.DUMMYFUNCTION("IF(ISDATE(TO_DATE(L28)), MAX(0, ROUND(TODAY() - TO_DATE(L28)), 0), ""-"")"),796.0)</x:f>
      </x:c>
      <x:c r="O28" s="2" t="e">
        <x:f>IFERROR(__xludf.DUMMYFUNCTION("IF(ISDATE(TO_DATE(M28)), MAX(0, ROUND(TODAY() - TO_DATE(M28)), 0), ""-"")"),"-")</x:f>
      </x:c>
      <x:c r="P28" s="6">
        <x:v>79.34</x:v>
      </x:c>
      <x:c r="Q28" s="6">
        <x:v>2011237.3362</x:v>
      </x:c>
      <x:c r="R28" s="7">
        <x:v>68391.08</x:v>
      </x:c>
      <x:c r="S28" s="7">
        <x:v>68399.0</x:v>
      </x:c>
      <x:c r="T28" s="7">
        <x:v>788.57</x:v>
      </x:c>
      <x:c r="U28" s="7">
        <x:v>25360.72</x:v>
      </x:c>
      <x:c r="V28" s="2" t="s">
        <x:v>28</x:v>
      </x:c>
      <x:c r="W28" s="2" t="s">
        <x:v>28</x:v>
      </x:c>
      <x:c r="X28" s="2" t="s">
        <x:v>28</x:v>
      </x:c>
      <x:c r="Y28" s="2" t="s">
        <x:v>28</x:v>
      </x:c>
      <x:c r="Z28" s="9" t="s">
        <x:v>76</x:v>
      </x:c>
      <x:c r="AA28" s="57" t="str">
        <x:v>Snapshot only — run GitHub workflow</x:v>
      </x:c>
      <x:c r="AB28" s="58" t="str">
        <x:f>IFERROR(H28/G28,"")</x:f>
      </x:c>
      <x:c r="AC28" s="57" t="str"/>
      <x:c r="AD28" s="57" t="str"/>
      <x:c r="AE28" s="57" t="str"/>
      <x:c r="AF28" s="57" t="str"/>
      <x:c r="AG28" s="2"/>
      <x:c r="AH28" s="2"/>
    </x:row>
    <x:row r="29" ht="15.75" customHeight="1">
      <x:c r="A29" s="11" t="s">
        <x:v>84</x:v>
      </x:c>
      <x:c r="B29" s="11" t="s">
        <x:v>85</x:v>
      </x:c>
      <x:c r="C29" s="3" t="e">
        <x:f>HYPERLINK("https://scan.mypinata.cloud/ipfs/bafybeih3olry3is4e4lzm7rus5l3h6zrphcal5a7ayfkhzm5oivjro2cp4/#/address/0x3Cca11B99e3338F57B0FCB0d203D747AeAE01CE5", "0x3Cca11B99e3338F57B0FCB0d203D747AeAE01CE5")</x:f>
      </x:c>
      <x:c r="D29" s="4" t="str">
        <x:f t="shared" si="1"/>
        <x:v>Atropa Dev</x:v>
      </x:c>
      <x:c r="E29" s="4" t="e">
        <x:f>HYPERLINK("https://scan.mypinata.cloud/ipfs/bafybeih3olry3is4e4lzm7rus5l3h6zrphcal5a7ayfkhzm5oivjro2cp4/#/block/18276645", "18276645")</x:f>
      </x:c>
      <x:c r="F29" s="4" t="e">
        <x:f>HYPERLINK("https://scan.mypinata.cloud/ipfs/bafybeih3olry3is4e4lzm7rus5l3h6zrphcal5a7ayfkhzm5oivjro2cp4/#/tx/0x6ad039de10528b7669814f5750f07bfa18d7df7063eaeed24a42f9f99e2a6d17", "2023-09-10 12:20:05")</x:f>
      </x:c>
      <x:c r="G29" s="5">
        <x:v>0.0</x:v>
      </x:c>
      <x:c r="H29" s="5">
        <x:v>9.999999999E9</x:v>
      </x:c>
      <x:c r="I29" s="5">
        <x:v>9.999999999E9</x:v>
      </x:c>
      <x:c r="J29" s="5">
        <x:v>9.999999999E17</x:v>
      </x:c>
      <x:c r="K29" s="5">
        <x:v>0.0</x:v>
      </x:c>
      <x:c r="L29" s="4" t="e">
        <x:f>HYPERLINK("https://scan.mypinata.cloud/ipfs/bafybeih3olry3is4e4lzm7rus5l3h6zrphcal5a7ayfkhzm5oivjro2cp4/#/tx/0x64401ef83fdb7923a071cde0be78fcaeaaa9a7ae5260523e311d10626b6eb05d", "2023-10-12 11:36:35")</x:f>
      </x:c>
      <x:c r="M29" s="2" t="s">
        <x:v>28</x:v>
      </x:c>
      <x:c r="N29" s="2" t="e">
        <x:f>IFERROR(__xludf.DUMMYFUNCTION("IF(ISDATE(TO_DATE(L29)), MAX(0, ROUND(TODAY() - TO_DATE(L29)), 0), ""-"")"),995.0)</x:f>
      </x:c>
      <x:c r="O29" s="2" t="e">
        <x:f>IFERROR(__xludf.DUMMYFUNCTION("IF(ISDATE(TO_DATE(M29)), MAX(0, ROUND(TODAY() - TO_DATE(M29)), 0), ""-"")"),"-")</x:f>
      </x:c>
      <x:c r="P29" s="2" t="s">
        <x:v>28</x:v>
      </x:c>
      <x:c r="Q29" s="2" t="s">
        <x:v>28</x:v>
      </x:c>
      <x:c r="R29" s="2" t="s">
        <x:v>28</x:v>
      </x:c>
      <x:c r="S29" s="2" t="s">
        <x:v>28</x:v>
      </x:c>
      <x:c r="T29" s="2" t="s">
        <x:v>28</x:v>
      </x:c>
      <x:c r="U29" s="2" t="s">
        <x:v>28</x:v>
      </x:c>
      <x:c r="V29" s="2" t="s">
        <x:v>28</x:v>
      </x:c>
      <x:c r="W29" s="2" t="s">
        <x:v>28</x:v>
      </x:c>
      <x:c r="X29" s="2" t="s">
        <x:v>28</x:v>
      </x:c>
      <x:c r="Y29" s="2" t="s">
        <x:v>28</x:v>
      </x:c>
      <x:c r="Z29" s="9" t="s">
        <x:v>86</x:v>
      </x:c>
      <x:c r="AA29" s="57" t="str">
        <x:v>Snapshot only — run GitHub workflow</x:v>
      </x:c>
      <x:c r="AB29" s="58" t="str">
        <x:f>IFERROR(H29/G29,"")</x:f>
      </x:c>
      <x:c r="AC29" s="57" t="str"/>
      <x:c r="AD29" s="57" t="str"/>
      <x:c r="AE29" s="57" t="str"/>
      <x:c r="AF29" s="57" t="str"/>
      <x:c r="AG29" s="2"/>
      <x:c r="AH29" s="2"/>
    </x:row>
    <x:row r="30" ht="15.75" customHeight="1">
      <x:c r="A30" s="11" t="s">
        <x:v>84</x:v>
      </x:c>
      <x:c r="B30" s="11" t="s">
        <x:v>85</x:v>
      </x:c>
      <x:c r="C30" s="3" t="e">
        <x:f>HYPERLINK("https://scan.mypinata.cloud/ipfs/bafybeih3olry3is4e4lzm7rus5l3h6zrphcal5a7ayfkhzm5oivjro2cp4/#/address/0x1942Ba1EA7c21a070D70C4eFe64B21694283F23e", "0x1942Ba1EA7c21a070D70C4eFe64B21694283F23e")</x:f>
      </x:c>
      <x:c r="D30" s="4" t="str">
        <x:f t="shared" si="1"/>
        <x:v>Atropa Dev</x:v>
      </x:c>
      <x:c r="E30" s="4" t="e">
        <x:f>HYPERLINK("https://scan.mypinata.cloud/ipfs/bafybeih3olry3is4e4lzm7rus5l3h6zrphcal5a7ayfkhzm5oivjro2cp4/#/block/18276656", "18276656")</x:f>
      </x:c>
      <x:c r="F30" s="4" t="e">
        <x:f>HYPERLINK("https://scan.mypinata.cloud/ipfs/bafybeih3olry3is4e4lzm7rus5l3h6zrphcal5a7ayfkhzm5oivjro2cp4/#/tx/0xa8559b0c12e8efe5bd8b24241aef629af9091ba4e7e673882dfc93559e6b7e8d", "2023-09-10 12:21:55")</x:f>
      </x:c>
      <x:c r="G30" s="5">
        <x:v>1.111111111E9</x:v>
      </x:c>
      <x:c r="H30" s="5">
        <x:v>1.111111111E9</x:v>
      </x:c>
      <x:c r="I30" s="5">
        <x:v>1.111111111E9</x:v>
      </x:c>
      <x:c r="J30" s="5">
        <x:v>0.0</x:v>
      </x:c>
      <x:c r="K30" s="5">
        <x:v>0.0</x:v>
      </x:c>
      <x:c r="L30" s="2" t="s">
        <x:v>28</x:v>
      </x:c>
      <x:c r="M30" s="2" t="s">
        <x:v>28</x:v>
      </x:c>
      <x:c r="N30" s="2" t="e">
        <x:f>IFERROR(__xludf.DUMMYFUNCTION("IF(ISDATE(TO_DATE(L30)), MAX(0, ROUND(TODAY() - TO_DATE(L30)), 0), ""-"")"),"-")</x:f>
      </x:c>
      <x:c r="O30" s="2" t="e">
        <x:f>IFERROR(__xludf.DUMMYFUNCTION("IF(ISDATE(TO_DATE(M30)), MAX(0, ROUND(TODAY() - TO_DATE(M30)), 0), ""-"")"),"-")</x:f>
      </x:c>
      <x:c r="P30" s="6">
        <x:v>1.643E-4</x:v>
      </x:c>
      <x:c r="Q30" s="6">
        <x:v>4.09209</x:v>
      </x:c>
      <x:c r="R30" s="7">
        <x:v>182555.5555373</x:v>
      </x:c>
      <x:c r="S30" s="7">
        <x:v>182568.0</x:v>
      </x:c>
      <x:c r="T30" s="7">
        <x:v>6.73</x:v>
      </x:c>
      <x:c r="U30" s="7">
        <x:v>650.05</x:v>
      </x:c>
      <x:c r="V30" s="2" t="s">
        <x:v>28</x:v>
      </x:c>
      <x:c r="W30" s="2" t="s">
        <x:v>28</x:v>
      </x:c>
      <x:c r="X30" s="2" t="s">
        <x:v>28</x:v>
      </x:c>
      <x:c r="Y30" s="2" t="s">
        <x:v>28</x:v>
      </x:c>
      <x:c r="Z30" s="9" t="s">
        <x:v>33</x:v>
      </x:c>
      <x:c r="AA30" s="57" t="str">
        <x:v>Snapshot only — run GitHub workflow</x:v>
      </x:c>
      <x:c r="AB30" s="58" t="n">
        <x:f>IFERROR(H30/G30,"")</x:f>
        <x:v>1</x:v>
      </x:c>
      <x:c r="AC30" s="57" t="str"/>
      <x:c r="AD30" s="57" t="str"/>
      <x:c r="AE30" s="57" t="str"/>
      <x:c r="AF30" s="57" t="str"/>
      <x:c r="AG30" s="2"/>
      <x:c r="AH30" s="2"/>
    </x:row>
    <x:row r="31" ht="15.75" customHeight="1">
      <x:c r="A31" s="11" t="s">
        <x:v>87</x:v>
      </x:c>
      <x:c r="B31" s="11" t="s">
        <x:v>88</x:v>
      </x:c>
      <x:c r="C31" s="3" t="e">
        <x:f>HYPERLINK("https://scan.mypinata.cloud/ipfs/bafybeih3olry3is4e4lzm7rus5l3h6zrphcal5a7ayfkhzm5oivjro2cp4/#/address/0xF2be09EB43c1eD2791d0324BaA0649e62CdA4BBF", "0xF2be09EB43c1eD2791d0324BaA0649e62CdA4BBF")</x:f>
      </x:c>
      <x:c r="D31" s="4" t="str">
        <x:f t="shared" si="1"/>
        <x:v>Atropa Dev</x:v>
      </x:c>
      <x:c r="E31" s="4" t="e">
        <x:f>HYPERLINK("https://scan.mypinata.cloud/ipfs/bafybeih3olry3is4e4lzm7rus5l3h6zrphcal5a7ayfkhzm5oivjro2cp4/#/block/18279567", "18279567")</x:f>
      </x:c>
      <x:c r="F31" s="4" t="e">
        <x:f>HYPERLINK("https://scan.mypinata.cloud/ipfs/bafybeih3olry3is4e4lzm7rus5l3h6zrphcal5a7ayfkhzm5oivjro2cp4/#/tx/0x5c45c8202989bd1a552dec7bc38641855c7aba8f1e5a5b1ed8276b6c44a6bdcd", "2023-09-10 20:31:25")</x:f>
      </x:c>
      <x:c r="G31" s="5">
        <x:v>1.0</x:v>
      </x:c>
      <x:c r="H31" s="5">
        <x:v>6.2943143E7</x:v>
      </x:c>
      <x:c r="I31" s="5">
        <x:v>6.290123237578719E7</x:v>
      </x:c>
      <x:c r="J31" s="5">
        <x:v>6.2938142E7</x:v>
      </x:c>
      <x:c r="K31" s="5">
        <x:v>36910.624212809926</x:v>
      </x:c>
      <x:c r="L31" s="4" t="e">
        <x:f>HYPERLINK("https://scan.mypinata.cloud/ipfs/bafybeih3olry3is4e4lzm7rus5l3h6zrphcal5a7ayfkhzm5oivjro2cp4/#/tx/0xd6048497956b084536b64e0731660e8a27fbbec4603e5077ad0f4e2909f0518c", "2025-01-15 20:40:35")</x:f>
      </x:c>
      <x:c r="M31" s="4" t="e">
        <x:f>HYPERLINK("https://scan.mypinata.cloud/ipfs/bafybeih3olry3is4e4lzm7rus5l3h6zrphcal5a7ayfkhzm5oivjro2cp4/#/tx/0x977b1889123244985311a3b7ed6708acff9c9caccad3d54405a5c664ccecedd5", "2024-10-13 03:06:15")</x:f>
      </x:c>
      <x:c r="N31" s="2" t="e">
        <x:f>IFERROR(__xludf.DUMMYFUNCTION("IF(ISDATE(TO_DATE(L31)), MAX(0, ROUND(TODAY() - TO_DATE(L31)), 0), ""-"")"),533.0)</x:f>
      </x:c>
      <x:c r="O31" s="2" t="e">
        <x:f>IFERROR(__xludf.DUMMYFUNCTION("IF(ISDATE(TO_DATE(M31)), MAX(0, ROUND(TODAY() - TO_DATE(M31)), 0), ""-"")"),628.0)</x:f>
      </x:c>
      <x:c r="P31" s="6">
        <x:v>7.136E-5</x:v>
      </x:c>
      <x:c r="Q31" s="6">
        <x:v>1.7975</x:v>
      </x:c>
      <x:c r="R31" s="7">
        <x:v>4491.62268448</x:v>
      </x:c>
      <x:c r="S31" s="7">
        <x:v>4490.0</x:v>
      </x:c>
      <x:c r="T31" s="7">
        <x:v>29.3</x:v>
      </x:c>
      <x:c r="U31" s="7">
        <x:v>1019.9300000000001</x:v>
      </x:c>
      <x:c r="V31" s="2" t="s">
        <x:v>28</x:v>
      </x:c>
      <x:c r="W31" s="2" t="s">
        <x:v>28</x:v>
      </x:c>
      <x:c r="X31" s="2" t="s">
        <x:v>28</x:v>
      </x:c>
      <x:c r="Y31" s="2" t="s">
        <x:v>28</x:v>
      </x:c>
      <x:c r="Z31" s="9" t="s">
        <x:v>86</x:v>
      </x:c>
      <x:c r="AA31" s="57" t="str">
        <x:v>Snapshot only — run GitHub workflow</x:v>
      </x:c>
      <x:c r="AB31" s="58" t="n">
        <x:f>IFERROR(H31/G31,"")</x:f>
        <x:v>62943143</x:v>
      </x:c>
      <x:c r="AC31" s="57" t="str"/>
      <x:c r="AD31" s="57" t="str"/>
      <x:c r="AE31" s="57" t="str"/>
      <x:c r="AF31" s="57" t="str"/>
      <x:c r="AG31" s="2"/>
      <x:c r="AH31" s="2"/>
    </x:row>
    <x:row r="32" ht="15.75" customHeight="1">
      <x:c r="A32" s="2" t="s">
        <x:v>89</x:v>
      </x:c>
      <x:c r="B32" s="2" t="s">
        <x:v>90</x:v>
      </x:c>
      <x:c r="C32" s="3" t="e">
        <x:f>HYPERLINK("https://scan.mypinata.cloud/ipfs/bafybeih3olry3is4e4lzm7rus5l3h6zrphcal5a7ayfkhzm5oivjro2cp4/#/address/0xa28e8aA4d6257157de64a547c90B38C3c540eF72", "0xa28e8aA4d6257157de64a547c90B38C3c540eF72")</x:f>
      </x:c>
      <x:c r="D32" s="4" t="str">
        <x:f t="shared" si="1"/>
        <x:v>Atropa Dev</x:v>
      </x:c>
      <x:c r="E32" s="4" t="e">
        <x:f>HYPERLINK("https://scan.mypinata.cloud/ipfs/bafybeih3olry3is4e4lzm7rus5l3h6zrphcal5a7ayfkhzm5oivjro2cp4/#/block/18280200", "18280200")</x:f>
      </x:c>
      <x:c r="F32" s="4" t="e">
        <x:f>HYPERLINK("https://scan.mypinata.cloud/ipfs/bafybeih3olry3is4e4lzm7rus5l3h6zrphcal5a7ayfkhzm5oivjro2cp4/#/tx/0x60baedbefb357f3ac9c0142253d2d1dcf028ccaa66655e120e49cbbe4eecda6a", "2023-09-10 22:18:45")</x:f>
      </x:c>
      <x:c r="G32" s="5">
        <x:v>100.0</x:v>
      </x:c>
      <x:c r="H32" s="5">
        <x:v>3160.0</x:v>
      </x:c>
      <x:c r="I32" s="5">
        <x:v>3160.0</x:v>
      </x:c>
      <x:c r="J32" s="5">
        <x:v>3060.0</x:v>
      </x:c>
      <x:c r="K32" s="5">
        <x:v>0.0</x:v>
      </x:c>
      <x:c r="L32" s="4" t="e">
        <x:f>HYPERLINK("https://scan.mypinata.cloud/ipfs/bafybeih3olry3is4e4lzm7rus5l3h6zrphcal5a7ayfkhzm5oivjro2cp4/#/tx/0xd772a766152864a1ef984601ee1392d90afa7cf974dcc9e7ac1c1712676e3de3", "2023-10-06 01:44:15")</x:f>
      </x:c>
      <x:c r="M32" s="2" t="s">
        <x:v>28</x:v>
      </x:c>
      <x:c r="N32" s="2" t="e">
        <x:f>IFERROR(__xludf.DUMMYFUNCTION("IF(ISDATE(TO_DATE(L32)), MAX(0, ROUND(TODAY() - TO_DATE(L32)), 0), ""-"")"),1001.0)</x:f>
      </x:c>
      <x:c r="O32" s="2" t="e">
        <x:f>IFERROR(__xludf.DUMMYFUNCTION("IF(ISDATE(TO_DATE(M32)), MAX(0, ROUND(TODAY() - TO_DATE(M32)), 0), ""-"")"),"-")</x:f>
      </x:c>
      <x:c r="P32" s="6">
        <x:v>176.65</x:v>
      </x:c>
      <x:c r="Q32" s="6">
        <x:v>4388830.8859</x:v>
      </x:c>
      <x:c r="R32" s="7">
        <x:v>558214.0</x:v>
      </x:c>
      <x:c r="S32" s="7">
        <x:v>558223.0</x:v>
      </x:c>
      <x:c r="T32" s="7">
        <x:v>1063.8</x:v>
      </x:c>
      <x:c r="U32" s="7">
        <x:v>75428.06999999999</x:v>
      </x:c>
      <x:c r="V32" s="2" t="s">
        <x:v>28</x:v>
      </x:c>
      <x:c r="W32" s="2" t="s">
        <x:v>28</x:v>
      </x:c>
      <x:c r="X32" s="2" t="s">
        <x:v>28</x:v>
      </x:c>
      <x:c r="Y32" s="2" t="s">
        <x:v>28</x:v>
      </x:c>
      <x:c r="Z32" s="9" t="s">
        <x:v>86</x:v>
      </x:c>
      <x:c r="AA32" s="57" t="str">
        <x:v>Snapshot only — run GitHub workflow</x:v>
      </x:c>
      <x:c r="AB32" s="58" t="n">
        <x:f>IFERROR(H32/G32,"")</x:f>
        <x:v>31.6</x:v>
      </x:c>
      <x:c r="AC32" s="57" t="str"/>
      <x:c r="AD32" s="57" t="str"/>
      <x:c r="AE32" s="57" t="str"/>
      <x:c r="AF32" s="57" t="str"/>
      <x:c r="AG32" s="2"/>
      <x:c r="AH32" s="2"/>
    </x:row>
    <x:row r="33" ht="15.75" customHeight="1">
      <x:c r="A33" s="2" t="s">
        <x:v>91</x:v>
      </x:c>
      <x:c r="B33" s="2" t="s">
        <x:v>92</x:v>
      </x:c>
      <x:c r="C33" s="3" t="e">
        <x:f>HYPERLINK("https://scan.mypinata.cloud/ipfs/bafybeih3olry3is4e4lzm7rus5l3h6zrphcal5a7ayfkhzm5oivjro2cp4/#/address/0x174A0ad99c60c20D9B3D94c3095BC1fb9ddEFd62", "0x174A0ad99c60c20D9B3D94c3095BC1fb9ddEFd62")</x:f>
      </x:c>
      <x:c r="D33" s="4" t="str">
        <x:f t="shared" si="1"/>
        <x:v>Atropa Dev</x:v>
      </x:c>
      <x:c r="E33" s="4" t="e">
        <x:f>HYPERLINK("https://scan.mypinata.cloud/ipfs/bafybeih3olry3is4e4lzm7rus5l3h6zrphcal5a7ayfkhzm5oivjro2cp4/#/block/18280385", "18280385")</x:f>
      </x:c>
      <x:c r="F33" s="4" t="e">
        <x:f>HYPERLINK("https://scan.mypinata.cloud/ipfs/bafybeih3olry3is4e4lzm7rus5l3h6zrphcal5a7ayfkhzm5oivjro2cp4/#/tx/0xf62317a47f007b658220e47099b55a91070471c7935900c313c58c64c3d5b07c", "2023-09-10 22:49:35")</x:f>
      </x:c>
      <x:c r="G33" s="5">
        <x:v>666.0</x:v>
      </x:c>
      <x:c r="H33" s="5">
        <x:v>3453.9040062017116</x:v>
      </x:c>
      <x:c r="I33" s="5">
        <x:v>3452.5946477754155</x:v>
      </x:c>
      <x:c r="J33" s="5">
        <x:v>4822.0</x:v>
      </x:c>
      <x:c r="K33" s="5">
        <x:v>2035.4053522245845</x:v>
      </x:c>
      <x:c r="L33" s="4" t="e">
        <x:f>HYPERLINK("https://scan.mypinata.cloud/ipfs/bafybeih3olry3is4e4lzm7rus5l3h6zrphcal5a7ayfkhzm5oivjro2cp4/#/tx/0xc399cac6686ad91226e1a5b73cfc632a329589c0ea727fa4affe8e2c15c4e086", "2024-10-22 17:12:25")</x:f>
      </x:c>
      <x:c r="M33" s="4" t="e">
        <x:f>HYPERLINK("https://scan.mypinata.cloud/ipfs/bafybeih3olry3is4e4lzm7rus5l3h6zrphcal5a7ayfkhzm5oivjro2cp4/#/tx/0xafb825b3b15f1d75848db06badcf1102de303b33b66cb8521383d6a737ed5840", "2025-02-27 12:11:15")</x:f>
      </x:c>
      <x:c r="N33" s="2" t="e">
        <x:f>IFERROR(__xludf.DUMMYFUNCTION("IF(ISDATE(TO_DATE(L33)), MAX(0, ROUND(TODAY() - TO_DATE(L33)), 0), ""-"")"),618.0)</x:f>
      </x:c>
      <x:c r="O33" s="2" t="e">
        <x:f>IFERROR(__xludf.DUMMYFUNCTION("IF(ISDATE(TO_DATE(M33)), MAX(0, ROUND(TODAY() - TO_DATE(M33)), 0), ""-"")"),490.0)</x:f>
      </x:c>
      <x:c r="P33" s="6">
        <x:v>101.0025</x:v>
      </x:c>
      <x:c r="Q33" s="6">
        <x:v>2564991.8728</x:v>
      </x:c>
      <x:c r="R33" s="7">
        <x:v>348852.9393863884</x:v>
      </x:c>
      <x:c r="S33" s="7">
        <x:v>348822.0</x:v>
      </x:c>
      <x:c r="T33" s="7">
        <x:v>9482.03</x:v>
      </x:c>
      <x:c r="U33" s="7">
        <x:v>235473.03999999998</x:v>
      </x:c>
      <x:c r="V33" s="2" t="s">
        <x:v>28</x:v>
      </x:c>
      <x:c r="W33" s="2" t="s">
        <x:v>28</x:v>
      </x:c>
      <x:c r="X33" s="2" t="s">
        <x:v>28</x:v>
      </x:c>
      <x:c r="Y33" s="2" t="s">
        <x:v>28</x:v>
      </x:c>
      <x:c r="Z33" s="9" t="s">
        <x:v>86</x:v>
      </x:c>
      <x:c r="AA33" s="57" t="str">
        <x:v>Snapshot only — run GitHub workflow</x:v>
      </x:c>
      <x:c r="AB33" s="58" t="n">
        <x:f>IFERROR(H33/G33,"")</x:f>
        <x:v>5.186042051353922</x:v>
      </x:c>
      <x:c r="AC33" s="57" t="str"/>
      <x:c r="AD33" s="57" t="str"/>
      <x:c r="AE33" s="57" t="str"/>
      <x:c r="AF33" s="57" t="str"/>
      <x:c r="AG33" s="2"/>
      <x:c r="AH33" s="2"/>
    </x:row>
    <x:row r="34" ht="15.75" customHeight="1">
      <x:c r="A34" s="2" t="s">
        <x:v>93</x:v>
      </x:c>
      <x:c r="B34" s="2" t="s">
        <x:v>93</x:v>
      </x:c>
      <x:c r="C34" s="3" t="e">
        <x:f>HYPERLINK("https://scan.mypinata.cloud/ipfs/bafybeih3olry3is4e4lzm7rus5l3h6zrphcal5a7ayfkhzm5oivjro2cp4/#/address/0xE63191967735C52f5de78CE2471759a9963Ce118", "0xE63191967735C52f5de78CE2471759a9963Ce118")</x:f>
      </x:c>
      <x:c r="D34" s="4" t="str">
        <x:f t="shared" si="1"/>
        <x:v>Atropa Dev</x:v>
      </x:c>
      <x:c r="E34" s="4" t="e">
        <x:f>HYPERLINK("https://scan.mypinata.cloud/ipfs/bafybeih3olry3is4e4lzm7rus5l3h6zrphcal5a7ayfkhzm5oivjro2cp4/#/block/18284266", "18284266")</x:f>
      </x:c>
      <x:c r="F34" s="4" t="e">
        <x:f>HYPERLINK("https://scan.mypinata.cloud/ipfs/bafybeih3olry3is4e4lzm7rus5l3h6zrphcal5a7ayfkhzm5oivjro2cp4/#/tx/0xce812803223ac6134f88ed0427cb30393d69f74720591157ae31c79332b0b1e6", "2023-09-11 09:40:55")</x:f>
      </x:c>
      <x:c r="G34" s="5">
        <x:v>1.111111111E9</x:v>
      </x:c>
      <x:c r="H34" s="5">
        <x:v>1.111111111E9</x:v>
      </x:c>
      <x:c r="I34" s="5">
        <x:v>1.111111111E9</x:v>
      </x:c>
      <x:c r="J34" s="5">
        <x:v>0.0</x:v>
      </x:c>
      <x:c r="K34" s="10" t="s">
        <x:v>94</x:v>
      </x:c>
      <x:c r="L34" s="2" t="s">
        <x:v>28</x:v>
      </x:c>
      <x:c r="M34" s="4" t="e">
        <x:f>HYPERLINK("https://scan.mypinata.cloud/ipfs/bafybeih3olry3is4e4lzm7rus5l3h6zrphcal5a7ayfkhzm5oivjro2cp4/#/tx/0x5ce8d509013a0c6a9eddd21775e744d2a4a7f688ae827591ed33fa5fba7ebe3f", "2024-08-27 20:10:15")</x:f>
      </x:c>
      <x:c r="N34" s="2" t="e">
        <x:f>IFERROR(__xludf.DUMMYFUNCTION("IF(ISDATE(TO_DATE(L34)), MAX(0, ROUND(TODAY() - TO_DATE(L34)), 0), ""-"")"),"-")</x:f>
      </x:c>
      <x:c r="O34" s="2" t="e">
        <x:f>IFERROR(__xludf.DUMMYFUNCTION("IF(ISDATE(TO_DATE(M34)), MAX(0, ROUND(TODAY() - TO_DATE(M34)), 0), ""-"")"),674.0)</x:f>
      </x:c>
      <x:c r="P34" s="6">
        <x:v>3.96E-4</x:v>
      </x:c>
      <x:c r="Q34" s="6">
        <x:v>9.8901</x:v>
      </x:c>
      <x:c r="R34" s="7">
        <x:v>439999.999956</x:v>
      </x:c>
      <x:c r="S34" s="7">
        <x:v>440097.0</x:v>
      </x:c>
      <x:c r="T34" s="7">
        <x:v>1443.44</x:v>
      </x:c>
      <x:c r="U34" s="7">
        <x:v>76989.61</x:v>
      </x:c>
      <x:c r="V34" s="2" t="s">
        <x:v>28</x:v>
      </x:c>
      <x:c r="W34" s="2" t="s">
        <x:v>28</x:v>
      </x:c>
      <x:c r="X34" s="2" t="s">
        <x:v>28</x:v>
      </x:c>
      <x:c r="Y34" s="2" t="s">
        <x:v>28</x:v>
      </x:c>
      <x:c r="Z34" s="9" t="s">
        <x:v>86</x:v>
      </x:c>
      <x:c r="AA34" s="57" t="str">
        <x:v>Snapshot only — run GitHub workflow</x:v>
      </x:c>
      <x:c r="AB34" s="58" t="n">
        <x:f>IFERROR(H34/G34,"")</x:f>
        <x:v>1</x:v>
      </x:c>
      <x:c r="AC34" s="57" t="str"/>
      <x:c r="AD34" s="57" t="str"/>
      <x:c r="AE34" s="57" t="str"/>
      <x:c r="AF34" s="57" t="str"/>
      <x:c r="AG34" s="2"/>
      <x:c r="AH34" s="2"/>
    </x:row>
    <x:row r="35" ht="15.75" customHeight="1">
      <x:c r="A35" s="2" t="s">
        <x:v>95</x:v>
      </x:c>
      <x:c r="B35" s="2" t="s">
        <x:v>95</x:v>
      </x:c>
      <x:c r="C35" s="3" t="e">
        <x:f>HYPERLINK("https://scan.mypinata.cloud/ipfs/bafybeih3olry3is4e4lzm7rus5l3h6zrphcal5a7ayfkhzm5oivjro2cp4/#/address/0xA537d6F4c1c8F8C41f1004cc34C00e7Db40179Cc", "0xA537d6F4c1c8F8C41f1004cc34C00e7Db40179Cc")</x:f>
      </x:c>
      <x:c r="D35" s="4" t="str">
        <x:f t="shared" si="1"/>
        <x:v>Atropa Dev</x:v>
      </x:c>
      <x:c r="E35" s="4" t="e">
        <x:f>HYPERLINK("https://scan.mypinata.cloud/ipfs/bafybeih3olry3is4e4lzm7rus5l3h6zrphcal5a7ayfkhzm5oivjro2cp4/#/block/18287947", "18287947")</x:f>
      </x:c>
      <x:c r="F35" s="4" t="e">
        <x:f>HYPERLINK("https://scan.mypinata.cloud/ipfs/bafybeih3olry3is4e4lzm7rus5l3h6zrphcal5a7ayfkhzm5oivjro2cp4/#/tx/0x2b7e0c9f51a7ffb2291f1dc58a9809cfaeda8398ffdba565eeff2b33204316f5", "2023-09-11 20:00:55")</x:f>
      </x:c>
      <x:c r="G35" s="5">
        <x:v>0.0</x:v>
      </x:c>
      <x:c r="H35" s="5">
        <x:v>23.0</x:v>
      </x:c>
      <x:c r="I35" s="5">
        <x:v>23.0</x:v>
      </x:c>
      <x:c r="J35" s="5">
        <x:v>2.3E17</x:v>
      </x:c>
      <x:c r="K35" s="5">
        <x:v>0.0</x:v>
      </x:c>
      <x:c r="L35" s="4" t="e">
        <x:f>HYPERLINK("https://scan.mypinata.cloud/ipfs/bafybeih3olry3is4e4lzm7rus5l3h6zrphcal5a7ayfkhzm5oivjro2cp4/#/tx/0x6355e4f101b4acc0e8c1c91a62385b36f51e6ec6db1bb457b08f0c79405ae2d7", "2024-02-13 03:50:25")</x:f>
      </x:c>
      <x:c r="M35" s="2" t="s">
        <x:v>28</x:v>
      </x:c>
      <x:c r="N35" s="2" t="e">
        <x:f>IFERROR(__xludf.DUMMYFUNCTION("IF(ISDATE(TO_DATE(L35)), MAX(0, ROUND(TODAY() - TO_DATE(L35)), 0), ""-"")"),871.0)</x:f>
      </x:c>
      <x:c r="O35" s="2" t="e">
        <x:f>IFERROR(__xludf.DUMMYFUNCTION("IF(ISDATE(TO_DATE(M35)), MAX(0, ROUND(TODAY() - TO_DATE(M35)), 0), ""-"")"),"-")</x:f>
      </x:c>
      <x:c r="P35" s="6">
        <x:v>6500.92</x:v>
      </x:c>
      <x:c r="Q35" s="6">
        <x:v>1.611282619798E8</x:v>
      </x:c>
      <x:c r="R35" s="7">
        <x:v>149521.16</x:v>
      </x:c>
      <x:c r="S35" s="7">
        <x:v>149521.0</x:v>
      </x:c>
      <x:c r="T35" s="7">
        <x:v>415.85</x:v>
      </x:c>
      <x:c r="U35" s="7">
        <x:v>52643.93</x:v>
      </x:c>
      <x:c r="V35" s="2" t="s">
        <x:v>28</x:v>
      </x:c>
      <x:c r="W35" s="2" t="s">
        <x:v>28</x:v>
      </x:c>
      <x:c r="X35" s="2" t="s">
        <x:v>28</x:v>
      </x:c>
      <x:c r="Y35" s="2" t="s">
        <x:v>28</x:v>
      </x:c>
      <x:c r="Z35" s="9" t="s">
        <x:v>96</x:v>
      </x:c>
      <x:c r="AA35" s="57" t="str">
        <x:v>Snapshot only — run GitHub workflow</x:v>
      </x:c>
      <x:c r="AB35" s="58" t="str">
        <x:f>IFERROR(H35/G35,"")</x:f>
      </x:c>
      <x:c r="AC35" s="57" t="str"/>
      <x:c r="AD35" s="57" t="str"/>
      <x:c r="AE35" s="57" t="str"/>
      <x:c r="AF35" s="57" t="str"/>
      <x:c r="AG35" s="2"/>
      <x:c r="AH35" s="2"/>
    </x:row>
    <x:row r="36" ht="15.75" customHeight="1">
      <x:c r="A36" s="12" t="s">
        <x:v>97</x:v>
      </x:c>
      <x:c r="B36" s="12" t="s">
        <x:v>98</x:v>
      </x:c>
      <x:c r="C36" s="13" t="e">
        <x:f>HYPERLINK("https://scan.mypinata.cloud/ipfs/bafybeih3olry3is4e4lzm7rus5l3h6zrphcal5a7ayfkhzm5oivjro2cp4/#/address/0x51A7aaBcCa69B3c0F82b3b9ce5104FDe3efAecE6", "0x51A7aaBcCa69B3c0F82b3b9ce5104FDe3efAecE6")</x:f>
      </x:c>
      <x:c r="D36" s="14" t="str">
        <x:f t="shared" si="1"/>
        <x:v>Atropa Dev</x:v>
      </x:c>
      <x:c r="E36" s="14" t="e">
        <x:f>HYPERLINK("https://scan.mypinata.cloud/ipfs/bafybeih3olry3is4e4lzm7rus5l3h6zrphcal5a7ayfkhzm5oivjro2cp4/#/block/18297620", "18297620")</x:f>
      </x:c>
      <x:c r="F36" s="14" t="e">
        <x:f>HYPERLINK("https://scan.mypinata.cloud/ipfs/bafybeih3olry3is4e4lzm7rus5l3h6zrphcal5a7ayfkhzm5oivjro2cp4/#/tx/0x5fe8a60a37728e2c6355298894132453186acc350af5c56cb2e65574f30a0eaf", "2023-09-12 23:09:25")</x:f>
      </x:c>
      <x:c r="G36" s="15">
        <x:v>1.0</x:v>
      </x:c>
      <x:c r="H36" s="15">
        <x:v>397.0</x:v>
      </x:c>
      <x:c r="I36" s="15">
        <x:v>387.0</x:v>
      </x:c>
      <x:c r="J36" s="15">
        <x:v>396.0</x:v>
      </x:c>
      <x:c r="K36" s="15">
        <x:v>10.0</x:v>
      </x:c>
      <x:c r="L36" s="14" t="e">
        <x:f>HYPERLINK("https://scan.mypinata.cloud/ipfs/bafybeih3olry3is4e4lzm7rus5l3h6zrphcal5a7ayfkhzm5oivjro2cp4/#/tx/0x8d158fd95b8feafe9747aed89a6cd5a211cd49399698a0a58a77de88fa6a5084", "2024-12-10 19:43:05")</x:f>
      </x:c>
      <x:c r="M36" s="14" t="e">
        <x:f>HYPERLINK("https://scan.mypinata.cloud/ipfs/bafybeih3olry3is4e4lzm7rus5l3h6zrphcal5a7ayfkhzm5oivjro2cp4/#/tx/0xcc65e60ee0ad399d8eac30c76260c2d63faf82880fd514af309bbb6b793fd47b", "2023-10-12 12:43:35")</x:f>
      </x:c>
      <x:c r="N36" s="16" t="e">
        <x:f>IFERROR(__xludf.DUMMYFUNCTION("IF(ISDATE(TO_DATE(L36)), MAX(0, ROUND(TODAY() - TO_DATE(L36)), 0), ""-"")"),569.0)</x:f>
      </x:c>
      <x:c r="O36" s="16" t="e">
        <x:f>IFERROR(__xludf.DUMMYFUNCTION("IF(ISDATE(TO_DATE(M36)), MAX(0, ROUND(TODAY() - TO_DATE(M36)), 0), ""-"")"),994.0)</x:f>
      </x:c>
      <x:c r="P36" s="17">
        <x:v>927.26</x:v>
      </x:c>
      <x:c r="Q36" s="17">
        <x:v>2.34130846525E7</x:v>
      </x:c>
      <x:c r="R36" s="18">
        <x:v>368122.22</x:v>
      </x:c>
      <x:c r="S36" s="18">
        <x:v>358850.0</x:v>
      </x:c>
      <x:c r="T36" s="18">
        <x:v>1499.0500000000002</x:v>
      </x:c>
      <x:c r="U36" s="18">
        <x:v>141289.30000000002</x:v>
      </x:c>
      <x:c r="V36" s="20" t="n">
        <x:f t="shared" ref="V36:W36" si="2">-0.36%</x:f>
        <x:v>-0.0036</x:v>
      </x:c>
      <x:c r="W36" s="20" t="str">
        <x:f t="shared" si="2"/>
        <x:v>-0.36%</x:v>
      </x:c>
      <x:c r="X36" s="20" t="n">
        <x:f t="array" ref="X36">-3.66%</x:f>
        <x:v>-0.0366</x:v>
      </x:c>
      <x:c r="Y36" s="20" t="n">
        <x:f t="array" ref="Y36">-3.71%</x:f>
        <x:v>-0.0371</x:v>
      </x:c>
      <x:c r="Z36" s="19" t="s">
        <x:v>96</x:v>
      </x:c>
      <x:c r="AA36" s="37" t="str">
        <x:v>Snapshot only — run GitHub workflow</x:v>
      </x:c>
      <x:c r="AB36" s="59" t="n">
        <x:f>IFERROR(H36/G36,"")</x:f>
        <x:v>397</x:v>
      </x:c>
      <x:c r="AC36" s="37" t="str"/>
      <x:c r="AD36" s="37" t="str"/>
      <x:c r="AE36" s="37" t="str"/>
      <x:c r="AF36" s="37" t="str"/>
      <x:c r="AG36" s="16"/>
      <x:c r="AH36" s="16"/>
    </x:row>
    <x:row r="37" ht="15.75" customHeight="1">
      <x:c r="A37" s="12" t="s">
        <x:v>99</x:v>
      </x:c>
      <x:c r="B37" s="12" t="s">
        <x:v>100</x:v>
      </x:c>
      <x:c r="C37" s="13" t="e">
        <x:f>HYPERLINK("https://scan.mypinata.cloud/ipfs/bafybeih3olry3is4e4lzm7rus5l3h6zrphcal5a7ayfkhzm5oivjro2cp4/#/address/0x4C1518286E1b8D5669Fe965EF174B8B4Ae2f017B", "0x4C1518286E1b8D5669Fe965EF174B8B4Ae2f017B")</x:f>
      </x:c>
      <x:c r="D37" s="14" t="str">
        <x:f t="shared" si="1"/>
        <x:v>Atropa Dev</x:v>
      </x:c>
      <x:c r="E37" s="14" t="e">
        <x:f>HYPERLINK("https://scan.mypinata.cloud/ipfs/bafybeih3olry3is4e4lzm7rus5l3h6zrphcal5a7ayfkhzm5oivjro2cp4/#/block/18304801", "18304801")</x:f>
      </x:c>
      <x:c r="F37" s="14" t="e">
        <x:f>HYPERLINK("https://scan.mypinata.cloud/ipfs/bafybeih3olry3is4e4lzm7rus5l3h6zrphcal5a7ayfkhzm5oivjro2cp4/#/tx/0xd207e3d41c8c9a0362a960b7b7e4f1d6b2d5b3630741dab6883736d6d3c32a70", "2023-09-13 19:10:55")</x:f>
      </x:c>
      <x:c r="G37" s="15">
        <x:v>111111.0</x:v>
      </x:c>
      <x:c r="H37" s="15">
        <x:v>111111.0</x:v>
      </x:c>
      <x:c r="I37" s="15">
        <x:v>111110.75810740494</x:v>
      </x:c>
      <x:c r="J37" s="21" t="s">
        <x:v>101</x:v>
      </x:c>
      <x:c r="K37" s="15">
        <x:v>0.2418925950569596</x:v>
      </x:c>
      <x:c r="L37" s="14" t="e">
        <x:f>HYPERLINK("https://scan.mypinata.cloud/ipfs/bafybeih3olry3is4e4lzm7rus5l3h6zrphcal5a7ayfkhzm5oivjro2cp4/#/tx/0x5af3e4af048201fb0352f15eab874e5762d9d8a69015871b7c8830a18b297c3e", "2024-12-10 19:34:55")</x:f>
      </x:c>
      <x:c r="M37" s="14" t="e">
        <x:f>HYPERLINK("https://scan.mypinata.cloud/ipfs/bafybeih3olry3is4e4lzm7rus5l3h6zrphcal5a7ayfkhzm5oivjro2cp4/#/tx/0xe940aed482aec8063ed579e65c2b9aeb79ef3f0a647cc7e96d7813a6c54560e7", "2025-02-26 11:27:55")</x:f>
      </x:c>
      <x:c r="N37" s="16" t="e">
        <x:f>IFERROR(__xludf.DUMMYFUNCTION("IF(ISDATE(TO_DATE(L37)), MAX(0, ROUND(TODAY() - TO_DATE(L37)), 0), ""-"")"),569.0)</x:f>
      </x:c>
      <x:c r="O37" s="16" t="e">
        <x:f>IFERROR(__xludf.DUMMYFUNCTION("IF(ISDATE(TO_DATE(M37)), MAX(0, ROUND(TODAY() - TO_DATE(M37)), 0), ""-"")"),492.0)</x:f>
      </x:c>
      <x:c r="P37" s="17">
        <x:v>2.95</x:v>
      </x:c>
      <x:c r="Q37" s="17">
        <x:v>74670.07814</x:v>
      </x:c>
      <x:c r="R37" s="18">
        <x:v>327777.45</x:v>
      </x:c>
      <x:c r="S37" s="18">
        <x:v>328584.0</x:v>
      </x:c>
      <x:c r="T37" s="18">
        <x:v>5448.470000000001</x:v>
      </x:c>
      <x:c r="U37" s="18">
        <x:v>24669.55</x:v>
      </x:c>
      <x:c r="V37" s="20" t="n">
        <x:f t="array" ref="V37">1.3%</x:f>
        <x:v>0.013000000000000001</x:v>
      </x:c>
      <x:c r="W37" s="20" t="n">
        <x:f t="array" ref="W37">0.48%</x:f>
        <x:v>0.0048</x:v>
      </x:c>
      <x:c r="X37" s="20" t="n">
        <x:f t="array" ref="X37">-3.07%</x:f>
        <x:v>-0.030699999999999998</x:v>
      </x:c>
      <x:c r="Y37" s="20" t="n">
        <x:f t="array" ref="Y37">-0.91%</x:f>
        <x:v>-0.0091</x:v>
      </x:c>
      <x:c r="Z37" s="19" t="s">
        <x:v>96</x:v>
      </x:c>
      <x:c r="AA37" s="37" t="str">
        <x:v>Snapshot only — run GitHub workflow</x:v>
      </x:c>
      <x:c r="AB37" s="59" t="n">
        <x:f>IFERROR(H37/G37,"")</x:f>
        <x:v>1</x:v>
      </x:c>
      <x:c r="AC37" s="37" t="str"/>
      <x:c r="AD37" s="37" t="str"/>
      <x:c r="AE37" s="37" t="str"/>
      <x:c r="AF37" s="37" t="str"/>
      <x:c r="AG37" s="16"/>
      <x:c r="AH37" s="16"/>
    </x:row>
    <x:row r="38" ht="15.75" customHeight="1">
      <x:c r="A38" s="2" t="s">
        <x:v>102</x:v>
      </x:c>
      <x:c r="B38" s="2" t="s">
        <x:v>103</x:v>
      </x:c>
      <x:c r="C38" s="3" t="e">
        <x:f>HYPERLINK("https://scan.mypinata.cloud/ipfs/bafybeih3olry3is4e4lzm7rus5l3h6zrphcal5a7ayfkhzm5oivjro2cp4/#/address/0xBDA4a610ED06e6C1E66b12271034ec4665b27615", "0xBDA4a610ED06e6C1E66b12271034ec4665b27615")</x:f>
      </x:c>
      <x:c r="D38" s="4" t="str">
        <x:f t="shared" si="1"/>
        <x:v>Atropa Dev</x:v>
      </x:c>
      <x:c r="E38" s="4" t="e">
        <x:f>HYPERLINK("https://scan.mypinata.cloud/ipfs/bafybeih3olry3is4e4lzm7rus5l3h6zrphcal5a7ayfkhzm5oivjro2cp4/#/block/18312638", "18312638")</x:f>
      </x:c>
      <x:c r="F38" s="4" t="e">
        <x:f>HYPERLINK("https://scan.mypinata.cloud/ipfs/bafybeih3olry3is4e4lzm7rus5l3h6zrphcal5a7ayfkhzm5oivjro2cp4/#/tx/0x0cab771de909cd15ca50f1da4be6e028a5c56fb09280de7e9f12725460ceb82b", "2023-09-14 17:03:05")</x:f>
      </x:c>
      <x:c r="G38" s="5">
        <x:v>0.0</x:v>
      </x:c>
      <x:c r="H38" s="10" t="s">
        <x:v>104</x:v>
      </x:c>
      <x:c r="I38" s="10" t="s">
        <x:v>104</x:v>
      </x:c>
      <x:c r="J38" s="5">
        <x:v>104.0</x:v>
      </x:c>
      <x:c r="K38" s="5">
        <x:v>0.0</x:v>
      </x:c>
      <x:c r="L38" s="4" t="e">
        <x:f>HYPERLINK("https://scan.mypinata.cloud/ipfs/bafybeih3olry3is4e4lzm7rus5l3h6zrphcal5a7ayfkhzm5oivjro2cp4/#/tx/0x2ea610b964dca8c7add8a23a27d2929942ebbc6c8bc86537a3607b7b53f0eaae", "2023-09-14 17:04:05")</x:f>
      </x:c>
      <x:c r="M38" s="2" t="s">
        <x:v>28</x:v>
      </x:c>
      <x:c r="N38" s="2" t="e">
        <x:f>IFERROR(__xludf.DUMMYFUNCTION("IF(ISDATE(TO_DATE(L38)), MAX(0, ROUND(TODAY() - TO_DATE(L38)), 0), ""-"")"),1022.0)</x:f>
      </x:c>
      <x:c r="O38" s="2" t="e">
        <x:f>IFERROR(__xludf.DUMMYFUNCTION("IF(ISDATE(TO_DATE(M38)), MAX(0, ROUND(TODAY() - TO_DATE(M38)), 0), ""-"")"),"-")</x:f>
      </x:c>
      <x:c r="P38" s="2" t="s">
        <x:v>28</x:v>
      </x:c>
      <x:c r="Q38" s="2" t="s">
        <x:v>28</x:v>
      </x:c>
      <x:c r="R38" s="2" t="s">
        <x:v>28</x:v>
      </x:c>
      <x:c r="S38" s="2" t="s">
        <x:v>28</x:v>
      </x:c>
      <x:c r="T38" s="2" t="s">
        <x:v>28</x:v>
      </x:c>
      <x:c r="U38" s="2" t="s">
        <x:v>28</x:v>
      </x:c>
      <x:c r="V38" s="2" t="s">
        <x:v>28</x:v>
      </x:c>
      <x:c r="W38" s="2" t="s">
        <x:v>28</x:v>
      </x:c>
      <x:c r="X38" s="2" t="s">
        <x:v>28</x:v>
      </x:c>
      <x:c r="Y38" s="2" t="s">
        <x:v>28</x:v>
      </x:c>
      <x:c r="Z38" s="9" t="s">
        <x:v>96</x:v>
      </x:c>
      <x:c r="AA38" s="57" t="str">
        <x:v>Snapshot only — run GitHub workflow</x:v>
      </x:c>
      <x:c r="AB38" s="58" t="str">
        <x:f>IFERROR(H38/G38,"")</x:f>
      </x:c>
      <x:c r="AC38" s="57" t="str"/>
      <x:c r="AD38" s="57" t="str"/>
      <x:c r="AE38" s="57" t="str"/>
      <x:c r="AF38" s="57" t="str"/>
      <x:c r="AG38" s="2"/>
      <x:c r="AH38" s="2"/>
    </x:row>
    <x:row r="39" ht="15.75" customHeight="1">
      <x:c r="A39" s="2" t="s">
        <x:v>102</x:v>
      </x:c>
      <x:c r="B39" s="2" t="s">
        <x:v>103</x:v>
      </x:c>
      <x:c r="C39" s="3" t="e">
        <x:f>HYPERLINK("https://scan.mypinata.cloud/ipfs/bafybeih3olry3is4e4lzm7rus5l3h6zrphcal5a7ayfkhzm5oivjro2cp4/#/address/0xC196247AA267Db0DF216d5385bCD23e5cf25EA6A", "0xC196247AA267Db0DF216d5385bCD23e5cf25EA6A")</x:f>
      </x:c>
      <x:c r="D39" s="4" t="str">
        <x:f t="shared" si="1"/>
        <x:v>Atropa Dev</x:v>
      </x:c>
      <x:c r="E39" s="4" t="e">
        <x:f>HYPERLINK("https://scan.mypinata.cloud/ipfs/bafybeih3olry3is4e4lzm7rus5l3h6zrphcal5a7ayfkhzm5oivjro2cp4/#/block/18312657", "18312657")</x:f>
      </x:c>
      <x:c r="F39" s="4" t="e">
        <x:f>HYPERLINK("https://scan.mypinata.cloud/ipfs/bafybeih3olry3is4e4lzm7rus5l3h6zrphcal5a7ayfkhzm5oivjro2cp4/#/tx/0x9d97e4109cfd8109cacaa581b34ec8c1d66ee2ac51486fa4caca2b95e432fabe", "2023-09-14 17:06:15")</x:f>
      </x:c>
      <x:c r="G39" s="5">
        <x:v>0.0</x:v>
      </x:c>
      <x:c r="H39" s="5">
        <x:v>260.0</x:v>
      </x:c>
      <x:c r="I39" s="5">
        <x:v>260.0</x:v>
      </x:c>
      <x:c r="J39" s="5">
        <x:v>2.6E17</x:v>
      </x:c>
      <x:c r="K39" s="5">
        <x:v>0.0</x:v>
      </x:c>
      <x:c r="L39" s="4" t="e">
        <x:f>HYPERLINK("https://scan.mypinata.cloud/ipfs/bafybeih3olry3is4e4lzm7rus5l3h6zrphcal5a7ayfkhzm5oivjro2cp4/#/tx/0x9008992fc44489120714e507f726f3fff3036b5834cfaabba53b305510fb07c5", "2024-12-08 20:35:25")</x:f>
      </x:c>
      <x:c r="M39" s="2" t="s">
        <x:v>28</x:v>
      </x:c>
      <x:c r="N39" s="2" t="e">
        <x:f>IFERROR(__xludf.DUMMYFUNCTION("IF(ISDATE(TO_DATE(L39)), MAX(0, ROUND(TODAY() - TO_DATE(L39)), 0), ""-"")"),571.0)</x:f>
      </x:c>
      <x:c r="O39" s="2" t="e">
        <x:f>IFERROR(__xludf.DUMMYFUNCTION("IF(ISDATE(TO_DATE(M39)), MAX(0, ROUND(TODAY() - TO_DATE(M39)), 0), ""-"")"),"-")</x:f>
      </x:c>
      <x:c r="P39" s="6">
        <x:v>327.53</x:v>
      </x:c>
      <x:c r="Q39" s="6">
        <x:v>8117972.8674</x:v>
      </x:c>
      <x:c r="R39" s="7">
        <x:v>85157.8</x:v>
      </x:c>
      <x:c r="S39" s="7">
        <x:v>85158.0</x:v>
      </x:c>
      <x:c r="T39" s="7">
        <x:v>6.13</x:v>
      </x:c>
      <x:c r="U39" s="7">
        <x:v>1021.75</x:v>
      </x:c>
      <x:c r="V39" s="2" t="s">
        <x:v>28</x:v>
      </x:c>
      <x:c r="W39" s="2" t="s">
        <x:v>28</x:v>
      </x:c>
      <x:c r="X39" s="2" t="s">
        <x:v>28</x:v>
      </x:c>
      <x:c r="Y39" s="2" t="s">
        <x:v>28</x:v>
      </x:c>
      <x:c r="Z39" s="9" t="s">
        <x:v>105</x:v>
      </x:c>
      <x:c r="AA39" s="57" t="str">
        <x:v>Snapshot only — run GitHub workflow</x:v>
      </x:c>
      <x:c r="AB39" s="58" t="str">
        <x:f>IFERROR(H39/G39,"")</x:f>
      </x:c>
      <x:c r="AC39" s="57" t="str"/>
      <x:c r="AD39" s="57" t="str"/>
      <x:c r="AE39" s="57" t="str"/>
      <x:c r="AF39" s="57" t="str"/>
      <x:c r="AG39" s="2"/>
      <x:c r="AH39" s="2"/>
    </x:row>
    <x:row r="40" ht="15.75" customHeight="1">
      <x:c r="A40" s="2" t="s">
        <x:v>106</x:v>
      </x:c>
      <x:c r="B40" s="2" t="s">
        <x:v>107</x:v>
      </x:c>
      <x:c r="C40" s="3" t="e">
        <x:f>HYPERLINK("https://scan.mypinata.cloud/ipfs/bafybeih3olry3is4e4lzm7rus5l3h6zrphcal5a7ayfkhzm5oivjro2cp4/#/address/0xa8e8412d9B4341239269cBA38ad949fE4870be34", "0xa8e8412d9B4341239269cBA38ad949fE4870be34")</x:f>
      </x:c>
      <x:c r="D40" s="4" t="str">
        <x:f t="shared" si="1"/>
        <x:v>Atropa Dev</x:v>
      </x:c>
      <x:c r="E40" s="4" t="e">
        <x:f>HYPERLINK("https://scan.mypinata.cloud/ipfs/bafybeih3olry3is4e4lzm7rus5l3h6zrphcal5a7ayfkhzm5oivjro2cp4/#/block/18312810", "18312810")</x:f>
      </x:c>
      <x:c r="F40" s="4" t="e">
        <x:f>HYPERLINK("https://scan.mypinata.cloud/ipfs/bafybeih3olry3is4e4lzm7rus5l3h6zrphcal5a7ayfkhzm5oivjro2cp4/#/tx/0xa4a0e4401e0433c3eb85b3b1dae3016f1beda5897a2a33290d8c0273a478ce4c", "2023-09-14 17:31:45")</x:f>
      </x:c>
      <x:c r="G40" s="5">
        <x:v>0.0</x:v>
      </x:c>
      <x:c r="H40" s="5">
        <x:v>1400.0</x:v>
      </x:c>
      <x:c r="I40" s="5">
        <x:v>1400.0</x:v>
      </x:c>
      <x:c r="J40" s="5">
        <x:v>1.4E17</x:v>
      </x:c>
      <x:c r="K40" s="5">
        <x:v>0.0</x:v>
      </x:c>
      <x:c r="L40" s="4" t="e">
        <x:f>HYPERLINK("https://scan.mypinata.cloud/ipfs/bafybeih3olry3is4e4lzm7rus5l3h6zrphcal5a7ayfkhzm5oivjro2cp4/#/tx/0x158d47f963ef6d6c39a0079f2f45e8fe2c75f0f9a0075d252f783487d455d665", "2024-12-10 19:13:55")</x:f>
      </x:c>
      <x:c r="M40" s="2" t="s">
        <x:v>28</x:v>
      </x:c>
      <x:c r="N40" s="2" t="e">
        <x:f>IFERROR(__xludf.DUMMYFUNCTION("IF(ISDATE(TO_DATE(L40)), MAX(0, ROUND(TODAY() - TO_DATE(L40)), 0), ""-"")"),569.0)</x:f>
      </x:c>
      <x:c r="O40" s="2" t="e">
        <x:f>IFERROR(__xludf.DUMMYFUNCTION("IF(ISDATE(TO_DATE(M40)), MAX(0, ROUND(TODAY() - TO_DATE(M40)), 0), ""-"")"),"-")</x:f>
      </x:c>
      <x:c r="P40" s="6">
        <x:v>16.49</x:v>
      </x:c>
      <x:c r="Q40" s="6">
        <x:v>418826.7603</x:v>
      </x:c>
      <x:c r="R40" s="7">
        <x:v>23086.0</x:v>
      </x:c>
      <x:c r="S40" s="7">
        <x:v>23089.0</x:v>
      </x:c>
      <x:c r="T40" s="7">
        <x:v>667.16</x:v>
      </x:c>
      <x:c r="U40" s="7">
        <x:v>19697.43</x:v>
      </x:c>
      <x:c r="V40" s="2" t="s">
        <x:v>28</x:v>
      </x:c>
      <x:c r="W40" s="2" t="s">
        <x:v>28</x:v>
      </x:c>
      <x:c r="X40" s="2" t="s">
        <x:v>28</x:v>
      </x:c>
      <x:c r="Y40" s="2" t="s">
        <x:v>28</x:v>
      </x:c>
      <x:c r="Z40" s="9" t="s">
        <x:v>96</x:v>
      </x:c>
      <x:c r="AA40" s="57" t="str">
        <x:v>Snapshot only — run GitHub workflow</x:v>
      </x:c>
      <x:c r="AB40" s="58" t="str">
        <x:f>IFERROR(H40/G40,"")</x:f>
      </x:c>
      <x:c r="AC40" s="57" t="str"/>
      <x:c r="AD40" s="57" t="str"/>
      <x:c r="AE40" s="57" t="str"/>
      <x:c r="AF40" s="57" t="str"/>
      <x:c r="AG40" s="2"/>
      <x:c r="AH40" s="2"/>
    </x:row>
    <x:row r="41" ht="15.75" customHeight="1">
      <x:c r="A41" s="2" t="s">
        <x:v>108</x:v>
      </x:c>
      <x:c r="B41" s="2" t="s">
        <x:v>109</x:v>
      </x:c>
      <x:c r="C41" s="3" t="e">
        <x:f>HYPERLINK("https://scan.mypinata.cloud/ipfs/bafybeih3olry3is4e4lzm7rus5l3h6zrphcal5a7ayfkhzm5oivjro2cp4/#/address/0x2fA079d2dAA29Ec8925484F9E9021e9191fE4aE4", "0x2fA079d2dAA29Ec8925484F9E9021e9191fE4aE4")</x:f>
      </x:c>
      <x:c r="D41" s="4" t="str">
        <x:f t="shared" si="1"/>
        <x:v>Atropa Dev</x:v>
      </x:c>
      <x:c r="E41" s="4" t="e">
        <x:f>HYPERLINK("https://scan.mypinata.cloud/ipfs/bafybeih3olry3is4e4lzm7rus5l3h6zrphcal5a7ayfkhzm5oivjro2cp4/#/block/18313025", "18313025")</x:f>
      </x:c>
      <x:c r="F41" s="4" t="e">
        <x:f>HYPERLINK("https://scan.mypinata.cloud/ipfs/bafybeih3olry3is4e4lzm7rus5l3h6zrphcal5a7ayfkhzm5oivjro2cp4/#/tx/0xa9ce8d375f52070eb0ee69a7cb5769542c4d50120ca4d000ab98a37a349ba067", "2023-09-14 18:07:35")</x:f>
      </x:c>
      <x:c r="G41" s="5">
        <x:v>0.0</x:v>
      </x:c>
      <x:c r="H41" s="5">
        <x:v>12.0</x:v>
      </x:c>
      <x:c r="I41" s="5">
        <x:v>12.0</x:v>
      </x:c>
      <x:c r="J41" s="5">
        <x:v>1.2E17</x:v>
      </x:c>
      <x:c r="K41" s="5">
        <x:v>0.0</x:v>
      </x:c>
      <x:c r="L41" s="4" t="e">
        <x:f>HYPERLINK("https://scan.mypinata.cloud/ipfs/bafybeih3olry3is4e4lzm7rus5l3h6zrphcal5a7ayfkhzm5oivjro2cp4/#/tx/0x1629a809293c612d59c0eb7693a315e8da79c922fc7cf12a162ade271b1a273c", "2024-12-13 18:53:05")</x:f>
      </x:c>
      <x:c r="M41" s="2" t="s">
        <x:v>28</x:v>
      </x:c>
      <x:c r="N41" s="2" t="e">
        <x:f>IFERROR(__xludf.DUMMYFUNCTION("IF(ISDATE(TO_DATE(L41)), MAX(0, ROUND(TODAY() - TO_DATE(L41)), 0), ""-"")"),566.0)</x:f>
      </x:c>
      <x:c r="O41" s="2" t="e">
        <x:f>IFERROR(__xludf.DUMMYFUNCTION("IF(ISDATE(TO_DATE(M41)), MAX(0, ROUND(TODAY() - TO_DATE(M41)), 0), ""-"")"),"-")</x:f>
      </x:c>
      <x:c r="P41" s="2" t="s">
        <x:v>28</x:v>
      </x:c>
      <x:c r="Q41" s="2" t="s">
        <x:v>28</x:v>
      </x:c>
      <x:c r="R41" s="2" t="s">
        <x:v>28</x:v>
      </x:c>
      <x:c r="S41" s="2" t="s">
        <x:v>28</x:v>
      </x:c>
      <x:c r="T41" s="2" t="s">
        <x:v>28</x:v>
      </x:c>
      <x:c r="U41" s="2" t="s">
        <x:v>28</x:v>
      </x:c>
      <x:c r="V41" s="2" t="s">
        <x:v>28</x:v>
      </x:c>
      <x:c r="W41" s="2" t="s">
        <x:v>28</x:v>
      </x:c>
      <x:c r="X41" s="2" t="s">
        <x:v>28</x:v>
      </x:c>
      <x:c r="Y41" s="2" t="s">
        <x:v>28</x:v>
      </x:c>
      <x:c r="Z41" s="9" t="s">
        <x:v>110</x:v>
      </x:c>
      <x:c r="AA41" s="57" t="str">
        <x:v>Snapshot only — run GitHub workflow</x:v>
      </x:c>
      <x:c r="AB41" s="58" t="str">
        <x:f>IFERROR(H41/G41,"")</x:f>
      </x:c>
      <x:c r="AC41" s="57" t="str"/>
      <x:c r="AD41" s="57" t="str"/>
      <x:c r="AE41" s="57" t="str"/>
      <x:c r="AF41" s="57" t="str"/>
      <x:c r="AG41" s="2"/>
      <x:c r="AH41" s="2"/>
    </x:row>
    <x:row r="42" ht="15.75" customHeight="1">
      <x:c r="A42" s="12" t="s">
        <x:v>111</x:v>
      </x:c>
      <x:c r="B42" s="12" t="s">
        <x:v>112</x:v>
      </x:c>
      <x:c r="C42" s="13" t="e">
        <x:f>HYPERLINK("https://scan.mypinata.cloud/ipfs/bafybeih3olry3is4e4lzm7rus5l3h6zrphcal5a7ayfkhzm5oivjro2cp4/#/address/0x5d4cb28eA61125a1fD3c927162C6F1969DD26788", "0x5d4cb28eA61125a1fD3c927162C6F1969DD26788")</x:f>
      </x:c>
      <x:c r="D42" s="14" t="str">
        <x:f t="shared" si="1"/>
        <x:v>Atropa Dev</x:v>
      </x:c>
      <x:c r="E42" s="14" t="e">
        <x:f>HYPERLINK("https://scan.mypinata.cloud/ipfs/bafybeih3olry3is4e4lzm7rus5l3h6zrphcal5a7ayfkhzm5oivjro2cp4/#/block/18313069", "18313069")</x:f>
      </x:c>
      <x:c r="F42" s="14" t="e">
        <x:f>HYPERLINK("https://scan.mypinata.cloud/ipfs/bafybeih3olry3is4e4lzm7rus5l3h6zrphcal5a7ayfkhzm5oivjro2cp4/#/tx/0x07c24f089c05b330f8697a64d80d8b699105e177df89933551c99599db11705a", "2023-09-14 18:14:55")</x:f>
      </x:c>
      <x:c r="G42" s="15">
        <x:v>0.0</x:v>
      </x:c>
      <x:c r="H42" s="15">
        <x:v>42.0</x:v>
      </x:c>
      <x:c r="I42" s="15">
        <x:v>42.0</x:v>
      </x:c>
      <x:c r="J42" s="15">
        <x:v>4.2E17</x:v>
      </x:c>
      <x:c r="K42" s="15">
        <x:v>0.0</x:v>
      </x:c>
      <x:c r="L42" s="14" t="e">
        <x:f>HYPERLINK("https://scan.mypinata.cloud/ipfs/bafybeih3olry3is4e4lzm7rus5l3h6zrphcal5a7ayfkhzm5oivjro2cp4/#/tx/0xd19ef0537b58d2139d2b0866050a5cb68618836a36247f9a4d6b69d838fac58a", "2024-10-24 17:33:05")</x:f>
      </x:c>
      <x:c r="M42" s="16" t="s">
        <x:v>28</x:v>
      </x:c>
      <x:c r="N42" s="16" t="e">
        <x:f>IFERROR(__xludf.DUMMYFUNCTION("IF(ISDATE(TO_DATE(L42)), MAX(0, ROUND(TODAY() - TO_DATE(L42)), 0), ""-"")"),616.0)</x:f>
      </x:c>
      <x:c r="O42" s="16" t="e">
        <x:f>IFERROR(__xludf.DUMMYFUNCTION("IF(ISDATE(TO_DATE(M42)), MAX(0, ROUND(TODAY() - TO_DATE(M42)), 0), ""-"")"),"-")</x:f>
      </x:c>
      <x:c r="P42" s="17">
        <x:v>1646.43</x:v>
      </x:c>
      <x:c r="Q42" s="17">
        <x:v>4.16907599121E7</x:v>
      </x:c>
      <x:c r="R42" s="18">
        <x:v>69150.06</x:v>
      </x:c>
      <x:c r="S42" s="18">
        <x:v>69150.0</x:v>
      </x:c>
      <x:c r="T42" s="18">
        <x:v>141.21</x:v>
      </x:c>
      <x:c r="U42" s="18">
        <x:v>23817.500000000004</x:v>
      </x:c>
      <x:c r="V42" s="16" t="s">
        <x:v>28</x:v>
      </x:c>
      <x:c r="W42" s="16" t="s">
        <x:v>28</x:v>
      </x:c>
      <x:c r="X42" s="16" t="s">
        <x:v>28</x:v>
      </x:c>
      <x:c r="Y42" s="16" t="s">
        <x:v>28</x:v>
      </x:c>
      <x:c r="Z42" s="19" t="s">
        <x:v>110</x:v>
      </x:c>
      <x:c r="AA42" s="37" t="str">
        <x:v>Snapshot only — run GitHub workflow</x:v>
      </x:c>
      <x:c r="AB42" s="59" t="str">
        <x:f>IFERROR(H42/G42,"")</x:f>
      </x:c>
      <x:c r="AC42" s="37" t="str"/>
      <x:c r="AD42" s="37" t="str"/>
      <x:c r="AE42" s="37" t="str"/>
      <x:c r="AF42" s="37" t="str"/>
      <x:c r="AG42" s="16"/>
      <x:c r="AH42" s="16"/>
    </x:row>
    <x:row r="43" ht="15.75" customHeight="1">
      <x:c r="A43" s="2" t="s">
        <x:v>113</x:v>
      </x:c>
      <x:c r="B43" s="2" t="s">
        <x:v>114</x:v>
      </x:c>
      <x:c r="C43" s="3" t="e">
        <x:f>HYPERLINK("https://scan.mypinata.cloud/ipfs/bafybeih3olry3is4e4lzm7rus5l3h6zrphcal5a7ayfkhzm5oivjro2cp4/#/address/0xf5E3Cc8d22B10d967bE49FE103e496F449C8604E", "0xf5E3Cc8d22B10d967bE49FE103e496F449C8604E")</x:f>
      </x:c>
      <x:c r="D43" s="4" t="str">
        <x:f t="shared" si="1"/>
        <x:v>Atropa Dev</x:v>
      </x:c>
      <x:c r="E43" s="4" t="e">
        <x:f>HYPERLINK("https://scan.mypinata.cloud/ipfs/bafybeih3olry3is4e4lzm7rus5l3h6zrphcal5a7ayfkhzm5oivjro2cp4/#/block/18313120", "18313120")</x:f>
      </x:c>
      <x:c r="F43" s="4" t="e">
        <x:f>HYPERLINK("https://scan.mypinata.cloud/ipfs/bafybeih3olry3is4e4lzm7rus5l3h6zrphcal5a7ayfkhzm5oivjro2cp4/#/tx/0xae095704ff18b590d8db6d6bd6d0d2074236185375bddd2ee0091d04121b7314", "2023-09-14 18:23:25")</x:f>
      </x:c>
      <x:c r="G43" s="5">
        <x:v>0.0</x:v>
      </x:c>
      <x:c r="H43" s="5">
        <x:v>70.0</x:v>
      </x:c>
      <x:c r="I43" s="5">
        <x:v>70.0</x:v>
      </x:c>
      <x:c r="J43" s="5">
        <x:v>7.0E17</x:v>
      </x:c>
      <x:c r="K43" s="5">
        <x:v>0.0</x:v>
      </x:c>
      <x:c r="L43" s="4" t="e">
        <x:f>HYPERLINK("https://scan.mypinata.cloud/ipfs/bafybeih3olry3is4e4lzm7rus5l3h6zrphcal5a7ayfkhzm5oivjro2cp4/#/tx/0xa20a4fd8de980de5f44bab180e2b93e5ffa2870404fa030c01e97aa0caa70e1d", "2024-10-24 17:31:45")</x:f>
      </x:c>
      <x:c r="M43" s="2" t="s">
        <x:v>28</x:v>
      </x:c>
      <x:c r="N43" s="2" t="e">
        <x:f>IFERROR(__xludf.DUMMYFUNCTION("IF(ISDATE(TO_DATE(L43)), MAX(0, ROUND(TODAY() - TO_DATE(L43)), 0), ""-"")"),616.0)</x:f>
      </x:c>
      <x:c r="O43" s="2" t="e">
        <x:f>IFERROR(__xludf.DUMMYFUNCTION("IF(ISDATE(TO_DATE(M43)), MAX(0, ROUND(TODAY() - TO_DATE(M43)), 0), ""-"")"),"-")</x:f>
      </x:c>
      <x:c r="P43" s="2" t="s">
        <x:v>28</x:v>
      </x:c>
      <x:c r="Q43" s="2" t="s">
        <x:v>28</x:v>
      </x:c>
      <x:c r="R43" s="2" t="s">
        <x:v>28</x:v>
      </x:c>
      <x:c r="S43" s="2" t="s">
        <x:v>28</x:v>
      </x:c>
      <x:c r="T43" s="2" t="s">
        <x:v>28</x:v>
      </x:c>
      <x:c r="U43" s="2" t="s">
        <x:v>28</x:v>
      </x:c>
      <x:c r="V43" s="2" t="s">
        <x:v>28</x:v>
      </x:c>
      <x:c r="W43" s="2" t="s">
        <x:v>28</x:v>
      </x:c>
      <x:c r="X43" s="2" t="s">
        <x:v>28</x:v>
      </x:c>
      <x:c r="Y43" s="2" t="s">
        <x:v>28</x:v>
      </x:c>
      <x:c r="Z43" s="9" t="s">
        <x:v>65</x:v>
      </x:c>
      <x:c r="AA43" s="57" t="str">
        <x:v>Snapshot only — run GitHub workflow</x:v>
      </x:c>
      <x:c r="AB43" s="58" t="str">
        <x:f>IFERROR(H43/G43,"")</x:f>
      </x:c>
      <x:c r="AC43" s="57" t="str"/>
      <x:c r="AD43" s="57" t="str"/>
      <x:c r="AE43" s="57" t="str"/>
      <x:c r="AF43" s="57" t="str"/>
      <x:c r="AG43" s="2"/>
      <x:c r="AH43" s="2"/>
    </x:row>
    <x:row r="44" ht="15.75" customHeight="1">
      <x:c r="A44" s="2" t="s">
        <x:v>115</x:v>
      </x:c>
      <x:c r="B44" s="2" t="s">
        <x:v>116</x:v>
      </x:c>
      <x:c r="C44" s="3" t="e">
        <x:f>HYPERLINK("https://scan.mypinata.cloud/ipfs/bafybeih3olry3is4e4lzm7rus5l3h6zrphcal5a7ayfkhzm5oivjro2cp4/#/address/0x50e40e8555AaB6b9c6CFF691E14070b6F38142Cb", "0x50e40e8555AaB6b9c6CFF691E14070b6F38142Cb")</x:f>
      </x:c>
      <x:c r="D44" s="4" t="str">
        <x:f t="shared" si="1"/>
        <x:v>Atropa Dev</x:v>
      </x:c>
      <x:c r="E44" s="4" t="e">
        <x:f>HYPERLINK("https://scan.mypinata.cloud/ipfs/bafybeih3olry3is4e4lzm7rus5l3h6zrphcal5a7ayfkhzm5oivjro2cp4/#/block/18313223", "18313223")</x:f>
      </x:c>
      <x:c r="F44" s="4" t="e">
        <x:f>HYPERLINK("https://scan.mypinata.cloud/ipfs/bafybeih3olry3is4e4lzm7rus5l3h6zrphcal5a7ayfkhzm5oivjro2cp4/#/tx/0xbbf2f9a519bd8c9c06aa4f4328a09ff055e25b3d36415580efe44519939b5588", "2023-09-14 18:40:35")</x:f>
      </x:c>
      <x:c r="G44" s="5">
        <x:v>0.0</x:v>
      </x:c>
      <x:c r="H44" s="5">
        <x:v>20.0</x:v>
      </x:c>
      <x:c r="I44" s="5">
        <x:v>20.0</x:v>
      </x:c>
      <x:c r="J44" s="5">
        <x:v>2.0E17</x:v>
      </x:c>
      <x:c r="K44" s="5">
        <x:v>0.0</x:v>
      </x:c>
      <x:c r="L44" s="4" t="e">
        <x:f>HYPERLINK("https://scan.mypinata.cloud/ipfs/bafybeih3olry3is4e4lzm7rus5l3h6zrphcal5a7ayfkhzm5oivjro2cp4/#/tx/0xa1cac0009f4d434123077f9989a995b57d550f52ea3ab8b911fc2111ec96d20c", "2024-12-10 19:11:45")</x:f>
      </x:c>
      <x:c r="M44" s="2" t="s">
        <x:v>28</x:v>
      </x:c>
      <x:c r="N44" s="2" t="e">
        <x:f>IFERROR(__xludf.DUMMYFUNCTION("IF(ISDATE(TO_DATE(L44)), MAX(0, ROUND(TODAY() - TO_DATE(L44)), 0), ""-"")"),569.0)</x:f>
      </x:c>
      <x:c r="O44" s="2" t="e">
        <x:f>IFERROR(__xludf.DUMMYFUNCTION("IF(ISDATE(TO_DATE(M44)), MAX(0, ROUND(TODAY() - TO_DATE(M44)), 0), ""-"")"),"-")</x:f>
      </x:c>
      <x:c r="P44" s="6">
        <x:v>1204.042</x:v>
      </x:c>
      <x:c r="Q44" s="6">
        <x:v>2.98387782506E7</x:v>
      </x:c>
      <x:c r="R44" s="7">
        <x:v>24080.84</x:v>
      </x:c>
      <x:c r="S44" s="7">
        <x:v>24081.0</x:v>
      </x:c>
      <x:c r="T44" s="7">
        <x:v>7.42</x:v>
      </x:c>
      <x:c r="U44" s="7">
        <x:v>578.97</x:v>
      </x:c>
      <x:c r="V44" s="2" t="s">
        <x:v>28</x:v>
      </x:c>
      <x:c r="W44" s="2" t="s">
        <x:v>28</x:v>
      </x:c>
      <x:c r="X44" s="2" t="s">
        <x:v>28</x:v>
      </x:c>
      <x:c r="Y44" s="2" t="s">
        <x:v>28</x:v>
      </x:c>
      <x:c r="Z44" s="9" t="s">
        <x:v>110</x:v>
      </x:c>
      <x:c r="AA44" s="57" t="str">
        <x:v>Snapshot only — run GitHub workflow</x:v>
      </x:c>
      <x:c r="AB44" s="58" t="str">
        <x:f>IFERROR(H44/G44,"")</x:f>
      </x:c>
      <x:c r="AC44" s="57" t="str"/>
      <x:c r="AD44" s="57" t="str"/>
      <x:c r="AE44" s="57" t="str"/>
      <x:c r="AF44" s="57" t="str"/>
      <x:c r="AG44" s="2"/>
      <x:c r="AH44" s="2"/>
    </x:row>
    <x:row r="45" ht="15.75" customHeight="1">
      <x:c r="A45" s="2" t="s">
        <x:v>117</x:v>
      </x:c>
      <x:c r="B45" s="2" t="s">
        <x:v>118</x:v>
      </x:c>
      <x:c r="C45" s="3" t="e">
        <x:f>HYPERLINK("https://scan.mypinata.cloud/ipfs/bafybeih3olry3is4e4lzm7rus5l3h6zrphcal5a7ayfkhzm5oivjro2cp4/#/address/0x86F0985Cd6Ab3196ea8DceBa87B92a2e22124633", "0x86F0985Cd6Ab3196ea8DceBa87B92a2e22124633")</x:f>
      </x:c>
      <x:c r="D45" s="4" t="str">
        <x:f t="shared" si="1"/>
        <x:v>Atropa Dev</x:v>
      </x:c>
      <x:c r="E45" s="4" t="e">
        <x:f>HYPERLINK("https://scan.mypinata.cloud/ipfs/bafybeih3olry3is4e4lzm7rus5l3h6zrphcal5a7ayfkhzm5oivjro2cp4/#/block/18313408", "18313408")</x:f>
      </x:c>
      <x:c r="F45" s="4" t="e">
        <x:f>HYPERLINK("https://scan.mypinata.cloud/ipfs/bafybeih3olry3is4e4lzm7rus5l3h6zrphcal5a7ayfkhzm5oivjro2cp4/#/tx/0x546d9f114024ef57ec89afea06e9891391a701f5875457741c8d324351d14684", "2023-09-14 19:11:25")</x:f>
      </x:c>
      <x:c r="G45" s="5">
        <x:v>0.0</x:v>
      </x:c>
      <x:c r="H45" s="5">
        <x:v>8376.0</x:v>
      </x:c>
      <x:c r="I45" s="5">
        <x:v>8376.0</x:v>
      </x:c>
      <x:c r="J45" s="5">
        <x:v>8.376E17</x:v>
      </x:c>
      <x:c r="K45" s="5">
        <x:v>0.0</x:v>
      </x:c>
      <x:c r="L45" s="4" t="e">
        <x:f>HYPERLINK("https://scan.mypinata.cloud/ipfs/bafybeih3olry3is4e4lzm7rus5l3h6zrphcal5a7ayfkhzm5oivjro2cp4/#/tx/0x1189455bf0da9d644b2fd0337fd9079af54c181cddf3371337a3b388eb54eb85", "2024-10-24 17:37:15")</x:f>
      </x:c>
      <x:c r="M45" s="2" t="s">
        <x:v>28</x:v>
      </x:c>
      <x:c r="N45" s="2" t="e">
        <x:f>IFERROR(__xludf.DUMMYFUNCTION("IF(ISDATE(TO_DATE(L45)), MAX(0, ROUND(TODAY() - TO_DATE(L45)), 0), ""-"")"),616.0)</x:f>
      </x:c>
      <x:c r="O45" s="2" t="e">
        <x:f>IFERROR(__xludf.DUMMYFUNCTION("IF(ISDATE(TO_DATE(M45)), MAX(0, ROUND(TODAY() - TO_DATE(M45)), 0), ""-"")"),"-")</x:f>
      </x:c>
      <x:c r="P45" s="2" t="s">
        <x:v>28</x:v>
      </x:c>
      <x:c r="Q45" s="2" t="s">
        <x:v>28</x:v>
      </x:c>
      <x:c r="R45" s="2" t="s">
        <x:v>28</x:v>
      </x:c>
      <x:c r="S45" s="2" t="s">
        <x:v>28</x:v>
      </x:c>
      <x:c r="T45" s="2" t="s">
        <x:v>28</x:v>
      </x:c>
      <x:c r="U45" s="2" t="s">
        <x:v>28</x:v>
      </x:c>
      <x:c r="V45" s="2" t="s">
        <x:v>28</x:v>
      </x:c>
      <x:c r="W45" s="2" t="s">
        <x:v>28</x:v>
      </x:c>
      <x:c r="X45" s="2" t="s">
        <x:v>28</x:v>
      </x:c>
      <x:c r="Y45" s="2" t="s">
        <x:v>28</x:v>
      </x:c>
      <x:c r="Z45" s="9" t="s">
        <x:v>119</x:v>
      </x:c>
      <x:c r="AA45" s="57" t="str">
        <x:v>Snapshot only — run GitHub workflow</x:v>
      </x:c>
      <x:c r="AB45" s="58" t="str">
        <x:f>IFERROR(H45/G45,"")</x:f>
      </x:c>
      <x:c r="AC45" s="57" t="str"/>
      <x:c r="AD45" s="57" t="str"/>
      <x:c r="AE45" s="57" t="str"/>
      <x:c r="AF45" s="57" t="str"/>
      <x:c r="AG45" s="2"/>
      <x:c r="AH45" s="2"/>
    </x:row>
    <x:row r="46" ht="15.75" customHeight="1">
      <x:c r="A46" s="2" t="s">
        <x:v>120</x:v>
      </x:c>
      <x:c r="B46" s="2" t="s">
        <x:v>121</x:v>
      </x:c>
      <x:c r="C46" s="3" t="e">
        <x:f>HYPERLINK("https://scan.mypinata.cloud/ipfs/bafybeih3olry3is4e4lzm7rus5l3h6zrphcal5a7ayfkhzm5oivjro2cp4/#/address/0x920401FDce49Fc70A2D4cD70DB0dD90212a97f98", "0x920401FDce49Fc70A2D4cD70DB0dD90212a97f98")</x:f>
      </x:c>
      <x:c r="D46" s="4" t="str">
        <x:f t="shared" si="1"/>
        <x:v>Atropa Dev</x:v>
      </x:c>
      <x:c r="E46" s="4" t="e">
        <x:f>HYPERLINK("https://scan.mypinata.cloud/ipfs/bafybeih3olry3is4e4lzm7rus5l3h6zrphcal5a7ayfkhzm5oivjro2cp4/#/block/18313569", "18313569")</x:f>
      </x:c>
      <x:c r="F46" s="4" t="e">
        <x:f>HYPERLINK("https://scan.mypinata.cloud/ipfs/bafybeih3olry3is4e4lzm7rus5l3h6zrphcal5a7ayfkhzm5oivjro2cp4/#/tx/0xf2151611bd8b4b056de1d049625bbd443bf701d096f521fda042dfaddf091cf0", "2023-09-14 19:38:15")</x:f>
      </x:c>
      <x:c r="G46" s="5">
        <x:v>0.0</x:v>
      </x:c>
      <x:c r="H46" s="5">
        <x:v>1200.0</x:v>
      </x:c>
      <x:c r="I46" s="5">
        <x:v>1077.1448345320405</x:v>
      </x:c>
      <x:c r="J46" s="5">
        <x:v>1.07714483453204048E17</x:v>
      </x:c>
      <x:c r="K46" s="5">
        <x:v>122.85516546795944</x:v>
      </x:c>
      <x:c r="L46" s="4" t="e">
        <x:f>HYPERLINK("https://scan.mypinata.cloud/ipfs/bafybeih3olry3is4e4lzm7rus5l3h6zrphcal5a7ayfkhzm5oivjro2cp4/#/tx/0xcc20022b76e0a00535109f9b52085c35698577f3fb303283bc735d42b24192f0", "2024-12-10 19:45:05")</x:f>
      </x:c>
      <x:c r="M46" s="4" t="e">
        <x:f>HYPERLINK("https://scan.mypinata.cloud/ipfs/bafybeih3olry3is4e4lzm7rus5l3h6zrphcal5a7ayfkhzm5oivjro2cp4/#/tx/0xcc8cadca206ea2ac6f044f0e3736681e988c37945278764b3d2d1395e85a82aa", "2023-10-12 14:29:55")</x:f>
      </x:c>
      <x:c r="N46" s="2" t="e">
        <x:f>IFERROR(__xludf.DUMMYFUNCTION("IF(ISDATE(TO_DATE(L46)), MAX(0, ROUND(TODAY() - TO_DATE(L46)), 0), ""-"")"),569.0)</x:f>
      </x:c>
      <x:c r="O46" s="2" t="e">
        <x:f>IFERROR(__xludf.DUMMYFUNCTION("IF(ISDATE(TO_DATE(M46)), MAX(0, ROUND(TODAY() - TO_DATE(M46)), 0), ""-"")"),994.0)</x:f>
      </x:c>
      <x:c r="P46" s="6">
        <x:v>53.78</x:v>
      </x:c>
      <x:c r="Q46" s="6">
        <x:v>1358148.3674</x:v>
      </x:c>
      <x:c r="R46" s="7">
        <x:v>64536.0</x:v>
      </x:c>
      <x:c r="S46" s="7">
        <x:v>57939.0</x:v>
      </x:c>
      <x:c r="T46" s="7">
        <x:v>685.4000000000001</x:v>
      </x:c>
      <x:c r="U46" s="7">
        <x:v>5989.8200000000015</x:v>
      </x:c>
      <x:c r="V46" s="8" t="n">
        <x:f t="array" ref="V46">-0.11%</x:f>
        <x:v>-0.0011</x:v>
      </x:c>
      <x:c r="W46" s="8" t="n">
        <x:f t="array" ref="W46">0.14%</x:f>
        <x:v>0.0014000000000000002</x:v>
      </x:c>
      <x:c r="X46" s="8" t="n">
        <x:f t="array" ref="X46">-4.93%</x:f>
        <x:v>-0.0493</x:v>
      </x:c>
      <x:c r="Y46" s="8" t="n">
        <x:f t="array" ref="Y46">-7.26%</x:f>
        <x:v>-0.0726</x:v>
      </x:c>
      <x:c r="Z46" s="9" t="s">
        <x:v>122</x:v>
      </x:c>
      <x:c r="AA46" s="57" t="str">
        <x:v>Snapshot only — run GitHub workflow</x:v>
      </x:c>
      <x:c r="AB46" s="58" t="str">
        <x:f>IFERROR(H46/G46,"")</x:f>
      </x:c>
      <x:c r="AC46" s="57" t="str"/>
      <x:c r="AD46" s="57" t="str"/>
      <x:c r="AE46" s="57" t="str"/>
      <x:c r="AF46" s="57" t="str"/>
      <x:c r="AG46" s="2"/>
      <x:c r="AH46" s="2"/>
    </x:row>
    <x:row r="47" ht="15.75" customHeight="1">
      <x:c r="A47" s="2" t="s">
        <x:v>123</x:v>
      </x:c>
      <x:c r="B47" s="2" t="s">
        <x:v>124</x:v>
      </x:c>
      <x:c r="C47" s="3" t="e">
        <x:f>HYPERLINK("https://scan.mypinata.cloud/ipfs/bafybeih3olry3is4e4lzm7rus5l3h6zrphcal5a7ayfkhzm5oivjro2cp4/#/address/0x982B52a54916B899c60031772cc85b041613510E", "0x982B52a54916B899c60031772cc85b041613510E")</x:f>
      </x:c>
      <x:c r="D47" s="4" t="str">
        <x:f t="shared" si="1"/>
        <x:v>Atropa Dev</x:v>
      </x:c>
      <x:c r="E47" s="4" t="e">
        <x:f>HYPERLINK("https://scan.mypinata.cloud/ipfs/bafybeih3olry3is4e4lzm7rus5l3h6zrphcal5a7ayfkhzm5oivjro2cp4/#/block/18313686", "18313686")</x:f>
      </x:c>
      <x:c r="F47" s="4" t="e">
        <x:f>HYPERLINK("https://scan.mypinata.cloud/ipfs/bafybeih3olry3is4e4lzm7rus5l3h6zrphcal5a7ayfkhzm5oivjro2cp4/#/tx/0x9ac1d407b7da91fc39a38e5b3480fd9789604a1c1ea67ade2e65e1b6a504154a", "2023-09-14 19:57:45")</x:f>
      </x:c>
      <x:c r="G47" s="5">
        <x:v>0.0</x:v>
      </x:c>
      <x:c r="H47" s="5">
        <x:v>58.25856477966474</x:v>
      </x:c>
      <x:c r="I47" s="5">
        <x:v>58.25856477966474</x:v>
      </x:c>
      <x:c r="J47" s="5">
        <x:v>5.8258564779664742E17</x:v>
      </x:c>
      <x:c r="K47" s="5">
        <x:v>0.0</x:v>
      </x:c>
      <x:c r="L47" s="4" t="e">
        <x:f>HYPERLINK("https://scan.mypinata.cloud/ipfs/bafybeih3olry3is4e4lzm7rus5l3h6zrphcal5a7ayfkhzm5oivjro2cp4/#/tx/0x3e49aaddf69d048492ce0d202fc7e06fabd42899d50efdf9adc193e40daa0b45", "2024-12-10 19:06:55")</x:f>
      </x:c>
      <x:c r="M47" s="2" t="s">
        <x:v>28</x:v>
      </x:c>
      <x:c r="N47" s="2" t="e">
        <x:f>IFERROR(__xludf.DUMMYFUNCTION("IF(ISDATE(TO_DATE(L47)), MAX(0, ROUND(TODAY() - TO_DATE(L47)), 0), ""-"")"),569.0)</x:f>
      </x:c>
      <x:c r="O47" s="2" t="e">
        <x:f>IFERROR(__xludf.DUMMYFUNCTION("IF(ISDATE(TO_DATE(M47)), MAX(0, ROUND(TODAY() - TO_DATE(M47)), 0), ""-"")"),"-")</x:f>
      </x:c>
      <x:c r="P47" s="2" t="s">
        <x:v>28</x:v>
      </x:c>
      <x:c r="Q47" s="2" t="s">
        <x:v>28</x:v>
      </x:c>
      <x:c r="R47" s="2" t="s">
        <x:v>28</x:v>
      </x:c>
      <x:c r="S47" s="2" t="s">
        <x:v>28</x:v>
      </x:c>
      <x:c r="T47" s="2" t="s">
        <x:v>28</x:v>
      </x:c>
      <x:c r="U47" s="2" t="s">
        <x:v>28</x:v>
      </x:c>
      <x:c r="V47" s="2" t="s">
        <x:v>28</x:v>
      </x:c>
      <x:c r="W47" s="2" t="s">
        <x:v>28</x:v>
      </x:c>
      <x:c r="X47" s="2" t="s">
        <x:v>28</x:v>
      </x:c>
      <x:c r="Y47" s="2" t="s">
        <x:v>28</x:v>
      </x:c>
      <x:c r="Z47" s="9" t="s">
        <x:v>125</x:v>
      </x:c>
      <x:c r="AA47" s="57" t="str">
        <x:v>Snapshot only — run GitHub workflow</x:v>
      </x:c>
      <x:c r="AB47" s="58" t="str">
        <x:f>IFERROR(H47/G47,"")</x:f>
      </x:c>
      <x:c r="AC47" s="57" t="str"/>
      <x:c r="AD47" s="57" t="str"/>
      <x:c r="AE47" s="57" t="str"/>
      <x:c r="AF47" s="57" t="str"/>
      <x:c r="AG47" s="2"/>
      <x:c r="AH47" s="2"/>
    </x:row>
    <x:row r="48" ht="15.75" customHeight="1">
      <x:c r="A48" s="2" t="s">
        <x:v>126</x:v>
      </x:c>
      <x:c r="B48" s="2" t="s">
        <x:v>126</x:v>
      </x:c>
      <x:c r="C48" s="3" t="e">
        <x:f>HYPERLINK("https://scan.mypinata.cloud/ipfs/bafybeih3olry3is4e4lzm7rus5l3h6zrphcal5a7ayfkhzm5oivjro2cp4/#/address/0x2e5898b2e107a3cAf4f0597aCFE5D2e6d73F2196", "0x2e5898b2e107a3cAf4f0597aCFE5D2e6d73F2196")</x:f>
      </x:c>
      <x:c r="D48" s="4" t="str">
        <x:f t="shared" si="1"/>
        <x:v>Atropa Dev</x:v>
      </x:c>
      <x:c r="E48" s="4" t="e">
        <x:f>HYPERLINK("https://scan.mypinata.cloud/ipfs/bafybeih3olry3is4e4lzm7rus5l3h6zrphcal5a7ayfkhzm5oivjro2cp4/#/block/18313860", "18313860")</x:f>
      </x:c>
      <x:c r="F48" s="4" t="e">
        <x:f>HYPERLINK("https://scan.mypinata.cloud/ipfs/bafybeih3olry3is4e4lzm7rus5l3h6zrphcal5a7ayfkhzm5oivjro2cp4/#/tx/0x01c981f34ffea673d9254d3cd21b9a60001bcb5dcf2132fc789224674471f4c7", "2023-09-14 20:26:55")</x:f>
      </x:c>
      <x:c r="G48" s="5">
        <x:v>0.0</x:v>
      </x:c>
      <x:c r="H48" s="5">
        <x:v>9000.0</x:v>
      </x:c>
      <x:c r="I48" s="5">
        <x:v>8000.0</x:v>
      </x:c>
      <x:c r="J48" s="5">
        <x:v>8.0E17</x:v>
      </x:c>
      <x:c r="K48" s="5">
        <x:v>1000.0</x:v>
      </x:c>
      <x:c r="L48" s="4" t="e">
        <x:f>HYPERLINK("https://scan.mypinata.cloud/ipfs/bafybeih3olry3is4e4lzm7rus5l3h6zrphcal5a7ayfkhzm5oivjro2cp4/#/tx/0xcde5829c7c29e266c096527d8992a22ec0f31e113d0ba971785cda9f00546560", "2024-10-24 17:49:25")</x:f>
      </x:c>
      <x:c r="M48" s="4" t="e">
        <x:f>HYPERLINK("https://scan.mypinata.cloud/ipfs/bafybeih3olry3is4e4lzm7rus5l3h6zrphcal5a7ayfkhzm5oivjro2cp4/#/tx/0xc7d4a03010e9ade8fc586c9cf072583d9aee3d6b20dd626f8a9d532bcaeba246", "2023-10-13 13:41:25")</x:f>
      </x:c>
      <x:c r="N48" s="2" t="e">
        <x:f>IFERROR(__xludf.DUMMYFUNCTION("IF(ISDATE(TO_DATE(L48)), MAX(0, ROUND(TODAY() - TO_DATE(L48)), 0), ""-"")"),616.0)</x:f>
      </x:c>
      <x:c r="O48" s="2" t="e">
        <x:f>IFERROR(__xludf.DUMMYFUNCTION("IF(ISDATE(TO_DATE(M48)), MAX(0, ROUND(TODAY() - TO_DATE(M48)), 0), ""-"")"),993.0)</x:f>
      </x:c>
      <x:c r="P48" s="6">
        <x:v>2.14</x:v>
      </x:c>
      <x:c r="Q48" s="6">
        <x:v>53424.4569</x:v>
      </x:c>
      <x:c r="R48" s="7">
        <x:v>19260.0</x:v>
      </x:c>
      <x:c r="S48" s="7">
        <x:v>17194.0</x:v>
      </x:c>
      <x:c r="T48" s="7">
        <x:v>23.04</x:v>
      </x:c>
      <x:c r="U48" s="7">
        <x:v>13420.730000000001</x:v>
      </x:c>
      <x:c r="V48" s="2" t="s">
        <x:v>28</x:v>
      </x:c>
      <x:c r="W48" s="2" t="s">
        <x:v>28</x:v>
      </x:c>
      <x:c r="X48" s="2" t="s">
        <x:v>28</x:v>
      </x:c>
      <x:c r="Y48" s="2" t="s">
        <x:v>28</x:v>
      </x:c>
      <x:c r="Z48" s="9" t="s">
        <x:v>122</x:v>
      </x:c>
      <x:c r="AA48" s="57" t="str">
        <x:v>Snapshot only — run GitHub workflow</x:v>
      </x:c>
      <x:c r="AB48" s="58" t="str">
        <x:f>IFERROR(H48/G48,"")</x:f>
      </x:c>
      <x:c r="AC48" s="57" t="str"/>
      <x:c r="AD48" s="57" t="str"/>
      <x:c r="AE48" s="57" t="str"/>
      <x:c r="AF48" s="57" t="str"/>
      <x:c r="AG48" s="2"/>
      <x:c r="AH48" s="2"/>
    </x:row>
    <x:row r="49" ht="15.75" customHeight="1">
      <x:c r="A49" s="12" t="s">
        <x:v>127</x:v>
      </x:c>
      <x:c r="B49" s="12" t="s">
        <x:v>128</x:v>
      </x:c>
      <x:c r="C49" s="13" t="e">
        <x:f>HYPERLINK("https://scan.mypinata.cloud/ipfs/bafybeih3olry3is4e4lzm7rus5l3h6zrphcal5a7ayfkhzm5oivjro2cp4/#/address/0xcBE13C3292f7226FF5fd096A4DC53C52a4ED4DAA", "0xcBE13C3292f7226FF5fd096A4DC53C52a4ED4DAA")</x:f>
      </x:c>
      <x:c r="D49" s="14" t="str">
        <x:f t="shared" si="1"/>
        <x:v>Atropa Dev</x:v>
      </x:c>
      <x:c r="E49" s="14" t="e">
        <x:f>HYPERLINK("https://scan.mypinata.cloud/ipfs/bafybeih3olry3is4e4lzm7rus5l3h6zrphcal5a7ayfkhzm5oivjro2cp4/#/block/18320087", "18320087")</x:f>
      </x:c>
      <x:c r="F49" s="14" t="e">
        <x:f>HYPERLINK("https://scan.mypinata.cloud/ipfs/bafybeih3olry3is4e4lzm7rus5l3h6zrphcal5a7ayfkhzm5oivjro2cp4/#/tx/0x943a44e8eec72211609aa289b57a10700d24a80e92142518d5930e7b2960b485", "2023-09-15 13:47:35")</x:f>
      </x:c>
      <x:c r="G49" s="15">
        <x:v>0.0</x:v>
      </x:c>
      <x:c r="H49" s="15">
        <x:v>2.7061429E7</x:v>
      </x:c>
      <x:c r="I49" s="15">
        <x:v>2.7061429E7</x:v>
      </x:c>
      <x:c r="J49" s="15">
        <x:v>2.7061429E17</x:v>
      </x:c>
      <x:c r="K49" s="21" t="s">
        <x:v>129</x:v>
      </x:c>
      <x:c r="L49" s="14" t="e">
        <x:f>HYPERLINK("https://scan.mypinata.cloud/ipfs/bafybeih3olry3is4e4lzm7rus5l3h6zrphcal5a7ayfkhzm5oivjro2cp4/#/tx/0x19ee3d8dc56ba29e4d53b782718015b88fcd939cbba79c702c3ac8b799445e34", "2024-10-15 03:30:25")</x:f>
      </x:c>
      <x:c r="M49" s="14" t="e">
        <x:f>HYPERLINK("https://scan.mypinata.cloud/ipfs/bafybeih3olry3is4e4lzm7rus5l3h6zrphcal5a7ayfkhzm5oivjro2cp4/#/tx/0x6ba1dc22e0aa9b23007354aaf7dfb6834fd93db0e14341e4081dcdcc7b628610", "2023-09-18 12:34:45")</x:f>
      </x:c>
      <x:c r="N49" s="16" t="e">
        <x:f>IFERROR(__xludf.DUMMYFUNCTION("IF(ISDATE(TO_DATE(L49)), MAX(0, ROUND(TODAY() - TO_DATE(L49)), 0), ""-"")"),626.0)</x:f>
      </x:c>
      <x:c r="O49" s="16" t="e">
        <x:f>IFERROR(__xludf.DUMMYFUNCTION("IF(ISDATE(TO_DATE(M49)), MAX(0, ROUND(TODAY() - TO_DATE(M49)), 0), ""-"")"),1018.0)</x:f>
      </x:c>
      <x:c r="P49" s="17">
        <x:v>7.654E-5</x:v>
      </x:c>
      <x:c r="Q49" s="17">
        <x:v>1.8971</x:v>
      </x:c>
      <x:c r="R49" s="18">
        <x:v>2071.28177566</x:v>
      </x:c>
      <x:c r="S49" s="18">
        <x:v>2071.0</x:v>
      </x:c>
      <x:c r="T49" s="18">
        <x:v>2.88</x:v>
      </x:c>
      <x:c r="U49" s="18">
        <x:v>91.18</x:v>
      </x:c>
      <x:c r="V49" s="16" t="s">
        <x:v>28</x:v>
      </x:c>
      <x:c r="W49" s="16" t="s">
        <x:v>28</x:v>
      </x:c>
      <x:c r="X49" s="16" t="s">
        <x:v>28</x:v>
      </x:c>
      <x:c r="Y49" s="16" t="s">
        <x:v>28</x:v>
      </x:c>
      <x:c r="Z49" s="19" t="s">
        <x:v>122</x:v>
      </x:c>
      <x:c r="AA49" s="37" t="str">
        <x:v>Snapshot only — run GitHub workflow</x:v>
      </x:c>
      <x:c r="AB49" s="59" t="str">
        <x:f>IFERROR(H49/G49,"")</x:f>
      </x:c>
      <x:c r="AC49" s="37" t="str"/>
      <x:c r="AD49" s="37" t="str"/>
      <x:c r="AE49" s="37" t="str"/>
      <x:c r="AF49" s="37" t="str"/>
      <x:c r="AG49" s="16"/>
      <x:c r="AH49" s="16"/>
    </x:row>
    <x:row r="50" ht="15.75" customHeight="1">
      <x:c r="A50" s="2" t="s">
        <x:v>130</x:v>
      </x:c>
      <x:c r="B50" s="2" t="s">
        <x:v>131</x:v>
      </x:c>
      <x:c r="C50" s="3" t="e">
        <x:f>HYPERLINK("https://scan.mypinata.cloud/ipfs/bafybeih3olry3is4e4lzm7rus5l3h6zrphcal5a7ayfkhzm5oivjro2cp4/#/address/0xf8b6e89b851e03c724aad1F5170230A60490b819", "0xf8b6e89b851e03c724aad1F5170230A60490b819")</x:f>
      </x:c>
      <x:c r="D50" s="4" t="str">
        <x:f t="shared" si="1"/>
        <x:v>Atropa Dev</x:v>
      </x:c>
      <x:c r="E50" s="4" t="e">
        <x:f>HYPERLINK("https://scan.mypinata.cloud/ipfs/bafybeih3olry3is4e4lzm7rus5l3h6zrphcal5a7ayfkhzm5oivjro2cp4/#/block/18320219", "18320219")</x:f>
      </x:c>
      <x:c r="F50" s="4" t="e">
        <x:f>HYPERLINK("https://scan.mypinata.cloud/ipfs/bafybeih3olry3is4e4lzm7rus5l3h6zrphcal5a7ayfkhzm5oivjro2cp4/#/tx/0x5ab0022ea2578b1cc5cf0edeceeea13e28ef6bafb7aab591232162bc4aa5d72e", "2023-09-15 14:09:35")</x:f>
      </x:c>
      <x:c r="G50" s="5">
        <x:v>0.0</x:v>
      </x:c>
      <x:c r="H50" s="5">
        <x:v>72.0</x:v>
      </x:c>
      <x:c r="I50" s="5">
        <x:v>72.0</x:v>
      </x:c>
      <x:c r="J50" s="5">
        <x:v>7.2E17</x:v>
      </x:c>
      <x:c r="K50" s="5">
        <x:v>0.0</x:v>
      </x:c>
      <x:c r="L50" s="4" t="e">
        <x:f>HYPERLINK("https://scan.mypinata.cloud/ipfs/bafybeih3olry3is4e4lzm7rus5l3h6zrphcal5a7ayfkhzm5oivjro2cp4/#/tx/0x518dd6b6d074d670977d640ce32f37f9f81dae7b73f2a04c693945a13dc80948", "2024-12-10 19:46:15")</x:f>
      </x:c>
      <x:c r="M50" s="2" t="s">
        <x:v>28</x:v>
      </x:c>
      <x:c r="N50" s="2" t="e">
        <x:f>IFERROR(__xludf.DUMMYFUNCTION("IF(ISDATE(TO_DATE(L50)), MAX(0, ROUND(TODAY() - TO_DATE(L50)), 0), ""-"")"),569.0)</x:f>
      </x:c>
      <x:c r="O50" s="2" t="e">
        <x:f>IFERROR(__xludf.DUMMYFUNCTION("IF(ISDATE(TO_DATE(M50)), MAX(0, ROUND(TODAY() - TO_DATE(M50)), 0), ""-"")"),"-")</x:f>
      </x:c>
      <x:c r="P50" s="2" t="s">
        <x:v>28</x:v>
      </x:c>
      <x:c r="Q50" s="2" t="s">
        <x:v>28</x:v>
      </x:c>
      <x:c r="R50" s="2" t="s">
        <x:v>28</x:v>
      </x:c>
      <x:c r="S50" s="2" t="s">
        <x:v>28</x:v>
      </x:c>
      <x:c r="T50" s="2" t="s">
        <x:v>28</x:v>
      </x:c>
      <x:c r="U50" s="2" t="s">
        <x:v>28</x:v>
      </x:c>
      <x:c r="V50" s="2" t="s">
        <x:v>28</x:v>
      </x:c>
      <x:c r="W50" s="2" t="s">
        <x:v>28</x:v>
      </x:c>
      <x:c r="X50" s="2" t="s">
        <x:v>28</x:v>
      </x:c>
      <x:c r="Y50" s="2" t="s">
        <x:v>28</x:v>
      </x:c>
      <x:c r="Z50" s="9" t="s">
        <x:v>122</x:v>
      </x:c>
      <x:c r="AA50" s="57" t="str">
        <x:v>Snapshot only — run GitHub workflow</x:v>
      </x:c>
      <x:c r="AB50" s="58" t="str">
        <x:f>IFERROR(H50/G50,"")</x:f>
      </x:c>
      <x:c r="AC50" s="57" t="str"/>
      <x:c r="AD50" s="57" t="str"/>
      <x:c r="AE50" s="57" t="str"/>
      <x:c r="AF50" s="57" t="str"/>
      <x:c r="AG50" s="2"/>
      <x:c r="AH50" s="2"/>
    </x:row>
    <x:row r="51" ht="15.75" customHeight="1">
      <x:c r="A51" s="2" t="s">
        <x:v>132</x:v>
      </x:c>
      <x:c r="B51" s="2" t="s">
        <x:v>133</x:v>
      </x:c>
      <x:c r="C51" s="3" t="e">
        <x:f>HYPERLINK("https://scan.mypinata.cloud/ipfs/bafybeih3olry3is4e4lzm7rus5l3h6zrphcal5a7ayfkhzm5oivjro2cp4/#/address/0x242E264680054232661Af225467ec286E3F95652", "0x242E264680054232661Af225467ec286E3F95652")</x:f>
      </x:c>
      <x:c r="D51" s="4" t="str">
        <x:f t="shared" si="1"/>
        <x:v>Atropa Dev</x:v>
      </x:c>
      <x:c r="E51" s="4" t="e">
        <x:f>HYPERLINK("https://scan.mypinata.cloud/ipfs/bafybeih3olry3is4e4lzm7rus5l3h6zrphcal5a7ayfkhzm5oivjro2cp4/#/block/18322214", "18322214")</x:f>
      </x:c>
      <x:c r="F51" s="4" t="e">
        <x:f>HYPERLINK("https://scan.mypinata.cloud/ipfs/bafybeih3olry3is4e4lzm7rus5l3h6zrphcal5a7ayfkhzm5oivjro2cp4/#/tx/0xf7067e947b45fef7ebc0fa5c0074b92aa9ea01c24e4a707069381b05f95a7869", "2023-09-15 19:49:15")</x:f>
      </x:c>
      <x:c r="G51" s="5">
        <x:v>0.0</x:v>
      </x:c>
      <x:c r="H51" s="5">
        <x:v>2666.9727577504173</x:v>
      </x:c>
      <x:c r="I51" s="5">
        <x:v>2665.945515500835</x:v>
      </x:c>
      <x:c r="J51" s="5">
        <x:v>2.66594551550083488E17</x:v>
      </x:c>
      <x:c r="K51" s="5">
        <x:v>1.02724224958257</x:v>
      </x:c>
      <x:c r="L51" s="4" t="e">
        <x:f>HYPERLINK("https://scan.mypinata.cloud/ipfs/bafybeih3olry3is4e4lzm7rus5l3h6zrphcal5a7ayfkhzm5oivjro2cp4/#/tx/0x94a91b56c24fb2834491c14961c194b62a0550c6c68464ce9eac9ae2974ef167", "2024-10-22 18:15:05")</x:f>
      </x:c>
      <x:c r="M51" s="4" t="e">
        <x:f>HYPERLINK("https://scan.mypinata.cloud/ipfs/bafybeih3olry3is4e4lzm7rus5l3h6zrphcal5a7ayfkhzm5oivjro2cp4/#/tx/0x9abb87e29b554d8a3cbbbd2bd9af54649ff25eb2e7f4b06d8a8aabb4df4b1729", "2024-07-25 16:16:45")</x:f>
      </x:c>
      <x:c r="N51" s="2" t="e">
        <x:f>IFERROR(__xludf.DUMMYFUNCTION("IF(ISDATE(TO_DATE(L51)), MAX(0, ROUND(TODAY() - TO_DATE(L51)), 0), ""-"")"),618.0)</x:f>
      </x:c>
      <x:c r="O51" s="2" t="e">
        <x:f>IFERROR(__xludf.DUMMYFUNCTION("IF(ISDATE(TO_DATE(M51)), MAX(0, ROUND(TODAY() - TO_DATE(M51)), 0), ""-"")"),707.0)</x:f>
      </x:c>
      <x:c r="P51" s="6">
        <x:v>769.19</x:v>
      </x:c>
      <x:c r="Q51" s="6">
        <x:v>1.94222662762E7</x:v>
      </x:c>
      <x:c r="R51" s="7">
        <x:v>2051408.7755340436</x:v>
      </x:c>
      <x:c r="S51" s="7">
        <x:v>2051424.0</x:v>
      </x:c>
      <x:c r="T51" s="7">
        <x:v>1.26</x:v>
      </x:c>
      <x:c r="U51" s="7">
        <x:v>258.39</x:v>
      </x:c>
      <x:c r="V51" s="2" t="s">
        <x:v>28</x:v>
      </x:c>
      <x:c r="W51" s="2" t="s">
        <x:v>28</x:v>
      </x:c>
      <x:c r="X51" s="2" t="s">
        <x:v>28</x:v>
      </x:c>
      <x:c r="Y51" s="2" t="s">
        <x:v>28</x:v>
      </x:c>
      <x:c r="Z51" s="9" t="s">
        <x:v>105</x:v>
      </x:c>
      <x:c r="AA51" s="57" t="str">
        <x:v>Snapshot only — run GitHub workflow</x:v>
      </x:c>
      <x:c r="AB51" s="58" t="str">
        <x:f>IFERROR(H51/G51,"")</x:f>
      </x:c>
      <x:c r="AC51" s="57" t="str"/>
      <x:c r="AD51" s="57" t="str"/>
      <x:c r="AE51" s="57" t="str"/>
      <x:c r="AF51" s="57" t="str"/>
      <x:c r="AG51" s="2"/>
      <x:c r="AH51" s="2"/>
    </x:row>
    <x:row r="52" ht="15.75" customHeight="1">
      <x:c r="A52" s="11" t="s">
        <x:v>134</x:v>
      </x:c>
      <x:c r="B52" s="11" t="s">
        <x:v>135</x:v>
      </x:c>
      <x:c r="C52" s="3" t="e">
        <x:f>HYPERLINK("https://scan.mypinata.cloud/ipfs/bafybeih3olry3is4e4lzm7rus5l3h6zrphcal5a7ayfkhzm5oivjro2cp4/#/address/0x38D739B86233F7BC9CF82b231AEC4ffa749c2Efb", "0x38D739B86233F7BC9CF82b231AEC4ffa749c2Efb")</x:f>
      </x:c>
      <x:c r="D52" s="4" t="str">
        <x:f t="shared" si="1"/>
        <x:v>Atropa Dev</x:v>
      </x:c>
      <x:c r="E52" s="4" t="e">
        <x:f>HYPERLINK("https://scan.mypinata.cloud/ipfs/bafybeih3olry3is4e4lzm7rus5l3h6zrphcal5a7ayfkhzm5oivjro2cp4/#/block/18322768", "18322768")</x:f>
      </x:c>
      <x:c r="F52" s="4" t="e">
        <x:f>HYPERLINK("https://scan.mypinata.cloud/ipfs/bafybeih3olry3is4e4lzm7rus5l3h6zrphcal5a7ayfkhzm5oivjro2cp4/#/tx/0x793e9ed7f8af90b0db9dd41dcb53dfc9ab943d4c743fd0611ae37d9366c3e5f1", "2023-09-15 21:24:25")</x:f>
      </x:c>
      <x:c r="G52" s="5">
        <x:v>1.0</x:v>
      </x:c>
      <x:c r="H52" s="5">
        <x:v>1.0</x:v>
      </x:c>
      <x:c r="I52" s="5">
        <x:v>1.0</x:v>
      </x:c>
      <x:c r="J52" s="5">
        <x:v>0.0</x:v>
      </x:c>
      <x:c r="K52" s="5">
        <x:v>0.0</x:v>
      </x:c>
      <x:c r="L52" s="2" t="s">
        <x:v>28</x:v>
      </x:c>
      <x:c r="M52" s="2" t="s">
        <x:v>28</x:v>
      </x:c>
      <x:c r="N52" s="2" t="e">
        <x:f>IFERROR(__xludf.DUMMYFUNCTION("IF(ISDATE(TO_DATE(L52)), MAX(0, ROUND(TODAY() - TO_DATE(L52)), 0), ""-"")"),"-")</x:f>
      </x:c>
      <x:c r="O52" s="2" t="e">
        <x:f>IFERROR(__xludf.DUMMYFUNCTION("IF(ISDATE(TO_DATE(M52)), MAX(0, ROUND(TODAY() - TO_DATE(M52)), 0), ""-"")"),"-")</x:f>
      </x:c>
      <x:c r="P52" s="6">
        <x:v>5999.99</x:v>
      </x:c>
      <x:c r="Q52" s="6">
        <x:v>1.49430918904E8</x:v>
      </x:c>
      <x:c r="R52" s="7">
        <x:v>5999.99</x:v>
      </x:c>
      <x:c r="S52" s="7">
        <x:v>6000.0</x:v>
      </x:c>
      <x:c r="T52" s="7">
        <x:v>7.06</x:v>
      </x:c>
      <x:c r="U52" s="7">
        <x:v>1999.58</x:v>
      </x:c>
      <x:c r="V52" s="2" t="s">
        <x:v>28</x:v>
      </x:c>
      <x:c r="W52" s="2" t="s">
        <x:v>28</x:v>
      </x:c>
      <x:c r="X52" s="2" t="s">
        <x:v>28</x:v>
      </x:c>
      <x:c r="Y52" s="2" t="s">
        <x:v>28</x:v>
      </x:c>
      <x:c r="Z52" s="9" t="s">
        <x:v>122</x:v>
      </x:c>
      <x:c r="AA52" s="57" t="str">
        <x:v>Snapshot only — run GitHub workflow</x:v>
      </x:c>
      <x:c r="AB52" s="58" t="n">
        <x:f>IFERROR(H52/G52,"")</x:f>
        <x:v>1</x:v>
      </x:c>
      <x:c r="AC52" s="57" t="str"/>
      <x:c r="AD52" s="57" t="str"/>
      <x:c r="AE52" s="57" t="str"/>
      <x:c r="AF52" s="57" t="str"/>
      <x:c r="AG52" s="2"/>
      <x:c r="AH52" s="2"/>
    </x:row>
    <x:row r="53" ht="15.75" customHeight="1">
      <x:c r="A53" s="2" t="s">
        <x:v>136</x:v>
      </x:c>
      <x:c r="B53" s="2" t="s">
        <x:v>137</x:v>
      </x:c>
      <x:c r="C53" s="3" t="e">
        <x:f>HYPERLINK("https://scan.mypinata.cloud/ipfs/bafybeih3olry3is4e4lzm7rus5l3h6zrphcal5a7ayfkhzm5oivjro2cp4/#/address/0xee62EE9A354E55dF7C39209B4304161369333fF7", "0xee62EE9A354E55dF7C39209B4304161369333fF7")</x:f>
      </x:c>
      <x:c r="D53" s="4" t="str">
        <x:f t="shared" si="1"/>
        <x:v>Atropa Dev</x:v>
      </x:c>
      <x:c r="E53" s="4" t="e">
        <x:f>HYPERLINK("https://scan.mypinata.cloud/ipfs/bafybeih3olry3is4e4lzm7rus5l3h6zrphcal5a7ayfkhzm5oivjro2cp4/#/block/18323248", "18323248")</x:f>
      </x:c>
      <x:c r="F53" s="4" t="e">
        <x:f>HYPERLINK("https://scan.mypinata.cloud/ipfs/bafybeih3olry3is4e4lzm7rus5l3h6zrphcal5a7ayfkhzm5oivjro2cp4/#/tx/0x4e880590cbc599d2505134dd24d936270ef6c4ae836d4216b648b24d47362055", "2023-09-15 22:44:35")</x:f>
      </x:c>
      <x:c r="G53" s="5">
        <x:v>80.0</x:v>
      </x:c>
      <x:c r="H53" s="5">
        <x:v>80.0</x:v>
      </x:c>
      <x:c r="I53" s="5">
        <x:v>80.0</x:v>
      </x:c>
      <x:c r="J53" s="5">
        <x:v>0.0</x:v>
      </x:c>
      <x:c r="K53" s="5">
        <x:v>0.0</x:v>
      </x:c>
      <x:c r="L53" s="2" t="s">
        <x:v>28</x:v>
      </x:c>
      <x:c r="M53" s="2" t="s">
        <x:v>28</x:v>
      </x:c>
      <x:c r="N53" s="2" t="e">
        <x:f>IFERROR(__xludf.DUMMYFUNCTION("IF(ISDATE(TO_DATE(L53)), MAX(0, ROUND(TODAY() - TO_DATE(L53)), 0), ""-"")"),"-")</x:f>
      </x:c>
      <x:c r="O53" s="2" t="e">
        <x:f>IFERROR(__xludf.DUMMYFUNCTION("IF(ISDATE(TO_DATE(M53)), MAX(0, ROUND(TODAY() - TO_DATE(M53)), 0), ""-"")"),"-")</x:f>
      </x:c>
      <x:c r="P53" s="6">
        <x:v>355.46</x:v>
      </x:c>
      <x:c r="Q53" s="6">
        <x:v>8837976.01331</x:v>
      </x:c>
      <x:c r="R53" s="7">
        <x:v>28436.8</x:v>
      </x:c>
      <x:c r="S53" s="7">
        <x:v>28437.0</x:v>
      </x:c>
      <x:c r="T53" s="7">
        <x:v>14.280000000000001</x:v>
      </x:c>
      <x:c r="U53" s="7">
        <x:v>1003.82</x:v>
      </x:c>
      <x:c r="V53" s="2" t="s">
        <x:v>28</x:v>
      </x:c>
      <x:c r="W53" s="2" t="s">
        <x:v>28</x:v>
      </x:c>
      <x:c r="X53" s="2" t="s">
        <x:v>28</x:v>
      </x:c>
      <x:c r="Y53" s="2" t="s">
        <x:v>28</x:v>
      </x:c>
      <x:c r="Z53" s="9" t="s">
        <x:v>138</x:v>
      </x:c>
      <x:c r="AA53" s="57" t="str">
        <x:v>Snapshot only — run GitHub workflow</x:v>
      </x:c>
      <x:c r="AB53" s="58" t="n">
        <x:f>IFERROR(H53/G53,"")</x:f>
        <x:v>1</x:v>
      </x:c>
      <x:c r="AC53" s="57" t="str"/>
      <x:c r="AD53" s="57" t="str"/>
      <x:c r="AE53" s="57" t="str"/>
      <x:c r="AF53" s="57" t="str"/>
      <x:c r="AG53" s="2"/>
      <x:c r="AH53" s="2"/>
    </x:row>
    <x:row r="54" ht="15.75" customHeight="1">
      <x:c r="A54" s="2" t="s">
        <x:v>139</x:v>
      </x:c>
      <x:c r="B54" s="2" t="s">
        <x:v>140</x:v>
      </x:c>
      <x:c r="C54" s="3" t="e">
        <x:f>HYPERLINK("https://scan.mypinata.cloud/ipfs/bafybeih3olry3is4e4lzm7rus5l3h6zrphcal5a7ayfkhzm5oivjro2cp4/#/address/0xCd19062a6d3019b02A676D72e51D8de7A398dE25", "0xCd19062a6d3019b02A676D72e51D8de7A398dE25")</x:f>
      </x:c>
      <x:c r="D54" s="4" t="str">
        <x:f t="shared" si="1"/>
        <x:v>Atropa Dev</x:v>
      </x:c>
      <x:c r="E54" s="4" t="e">
        <x:f>HYPERLINK("https://scan.mypinata.cloud/ipfs/bafybeih3olry3is4e4lzm7rus5l3h6zrphcal5a7ayfkhzm5oivjro2cp4/#/block/18329414", "18329414")</x:f>
      </x:c>
      <x:c r="F54" s="4" t="e">
        <x:f>HYPERLINK("https://scan.mypinata.cloud/ipfs/bafybeih3olry3is4e4lzm7rus5l3h6zrphcal5a7ayfkhzm5oivjro2cp4/#/tx/0xfddfb9e1077d88aae36ce9e0868a73d01e8009f5506429f1532cf8207a1b19f8", "2023-09-16 15:59:15")</x:f>
      </x:c>
      <x:c r="G54" s="5">
        <x:v>70.0</x:v>
      </x:c>
      <x:c r="H54" s="5">
        <x:v>70.0</x:v>
      </x:c>
      <x:c r="I54" s="5">
        <x:v>70.0</x:v>
      </x:c>
      <x:c r="J54" s="5">
        <x:v>0.0</x:v>
      </x:c>
      <x:c r="K54" s="10" t="s">
        <x:v>129</x:v>
      </x:c>
      <x:c r="L54" s="2" t="s">
        <x:v>28</x:v>
      </x:c>
      <x:c r="M54" s="4" t="e">
        <x:f>HYPERLINK("https://scan.mypinata.cloud/ipfs/bafybeih3olry3is4e4lzm7rus5l3h6zrphcal5a7ayfkhzm5oivjro2cp4/#/tx/0x01743d3d2947024f94bef679de64d90fffd89549554de58a22ad93ef1931b9c4", "2023-09-18 12:35:05")</x:f>
      </x:c>
      <x:c r="N54" s="2" t="e">
        <x:f>IFERROR(__xludf.DUMMYFUNCTION("IF(ISDATE(TO_DATE(L54)), MAX(0, ROUND(TODAY() - TO_DATE(L54)), 0), ""-"")"),"-")</x:f>
      </x:c>
      <x:c r="O54" s="2" t="e">
        <x:f>IFERROR(__xludf.DUMMYFUNCTION("IF(ISDATE(TO_DATE(M54)), MAX(0, ROUND(TODAY() - TO_DATE(M54)), 0), ""-"")"),1018.0)</x:f>
      </x:c>
      <x:c r="P54" s="6">
        <x:v>4962.99</x:v>
      </x:c>
      <x:c r="Q54" s="6">
        <x:v>1.233024826118E8</x:v>
      </x:c>
      <x:c r="R54" s="7">
        <x:v>347409.3</x:v>
      </x:c>
      <x:c r="S54" s="7">
        <x:v>347410.0</x:v>
      </x:c>
      <x:c r="T54" s="7">
        <x:v>882.5</x:v>
      </x:c>
      <x:c r="U54" s="7">
        <x:v>56965.52</x:v>
      </x:c>
      <x:c r="V54" s="2" t="s">
        <x:v>28</x:v>
      </x:c>
      <x:c r="W54" s="2" t="s">
        <x:v>28</x:v>
      </x:c>
      <x:c r="X54" s="2" t="s">
        <x:v>28</x:v>
      </x:c>
      <x:c r="Y54" s="2" t="s">
        <x:v>28</x:v>
      </x:c>
      <x:c r="Z54" s="9" t="s">
        <x:v>141</x:v>
      </x:c>
      <x:c r="AA54" s="57" t="str">
        <x:v>Snapshot only — run GitHub workflow</x:v>
      </x:c>
      <x:c r="AB54" s="58" t="n">
        <x:f>IFERROR(H54/G54,"")</x:f>
        <x:v>1</x:v>
      </x:c>
      <x:c r="AC54" s="57" t="str"/>
      <x:c r="AD54" s="57" t="str"/>
      <x:c r="AE54" s="57" t="str"/>
      <x:c r="AF54" s="57" t="str"/>
      <x:c r="AG54" s="2"/>
      <x:c r="AH54" s="2"/>
    </x:row>
    <x:row r="55" ht="15.75" customHeight="1">
      <x:c r="A55" s="2" t="s">
        <x:v>142</x:v>
      </x:c>
      <x:c r="B55" s="2" t="s">
        <x:v>143</x:v>
      </x:c>
      <x:c r="C55" s="3" t="e">
        <x:f>HYPERLINK("https://scan.mypinata.cloud/ipfs/bafybeih3olry3is4e4lzm7rus5l3h6zrphcal5a7ayfkhzm5oivjro2cp4/#/address/0xF7ebb9bc80fb6395373c6BbDF690fcFfb217a691", "0xF7ebb9bc80fb6395373c6BbDF690fcFfb217a691")</x:f>
      </x:c>
      <x:c r="D55" s="4" t="str">
        <x:f t="shared" si="1"/>
        <x:v>Atropa Dev</x:v>
      </x:c>
      <x:c r="E55" s="4" t="e">
        <x:f>HYPERLINK("https://scan.mypinata.cloud/ipfs/bafybeih3olry3is4e4lzm7rus5l3h6zrphcal5a7ayfkhzm5oivjro2cp4/#/block/18330806", "18330806")</x:f>
      </x:c>
      <x:c r="F55" s="4" t="e">
        <x:f>HYPERLINK("https://scan.mypinata.cloud/ipfs/bafybeih3olry3is4e4lzm7rus5l3h6zrphcal5a7ayfkhzm5oivjro2cp4/#/tx/0xd53a4fb0726b3ba94a1bcee412ed366772cdb7a36e789d3ae73c6c33e8434043", "2023-09-16 19:51:45")</x:f>
      </x:c>
      <x:c r="G55" s="5">
        <x:v>1.0</x:v>
      </x:c>
      <x:c r="H55" s="5">
        <x:v>1.0</x:v>
      </x:c>
      <x:c r="I55" s="5">
        <x:v>1.0</x:v>
      </x:c>
      <x:c r="J55" s="5">
        <x:v>0.0</x:v>
      </x:c>
      <x:c r="K55" s="5">
        <x:v>0.0</x:v>
      </x:c>
      <x:c r="L55" s="2" t="s">
        <x:v>28</x:v>
      </x:c>
      <x:c r="M55" s="2" t="s">
        <x:v>28</x:v>
      </x:c>
      <x:c r="N55" s="2" t="e">
        <x:f>IFERROR(__xludf.DUMMYFUNCTION("IF(ISDATE(TO_DATE(L55)), MAX(0, ROUND(TODAY() - TO_DATE(L55)), 0), ""-"")"),"-")</x:f>
      </x:c>
      <x:c r="O55" s="2" t="e">
        <x:f>IFERROR(__xludf.DUMMYFUNCTION("IF(ISDATE(TO_DATE(M55)), MAX(0, ROUND(TODAY() - TO_DATE(M55)), 0), ""-"")"),"-")</x:f>
      </x:c>
      <x:c r="P55" s="6">
        <x:v>10106.57</x:v>
      </x:c>
      <x:c r="Q55" s="6">
        <x:v>2.485656317051E8</x:v>
      </x:c>
      <x:c r="R55" s="7">
        <x:v>10106.57</x:v>
      </x:c>
      <x:c r="S55" s="7">
        <x:v>10107.0</x:v>
      </x:c>
      <x:c r="T55" s="7">
        <x:v>3.21</x:v>
      </x:c>
      <x:c r="U55" s="7">
        <x:v>867.31</x:v>
      </x:c>
      <x:c r="V55" s="2" t="s">
        <x:v>28</x:v>
      </x:c>
      <x:c r="W55" s="2" t="s">
        <x:v>28</x:v>
      </x:c>
      <x:c r="X55" s="2" t="s">
        <x:v>28</x:v>
      </x:c>
      <x:c r="Y55" s="2" t="s">
        <x:v>28</x:v>
      </x:c>
      <x:c r="Z55" s="9" t="s">
        <x:v>141</x:v>
      </x:c>
      <x:c r="AA55" s="57" t="str">
        <x:v>Snapshot only — run GitHub workflow</x:v>
      </x:c>
      <x:c r="AB55" s="58" t="n">
        <x:f>IFERROR(H55/G55,"")</x:f>
        <x:v>1</x:v>
      </x:c>
      <x:c r="AC55" s="57" t="str"/>
      <x:c r="AD55" s="57" t="str"/>
      <x:c r="AE55" s="57" t="str"/>
      <x:c r="AF55" s="57" t="str"/>
      <x:c r="AG55" s="2"/>
      <x:c r="AH55" s="2"/>
    </x:row>
    <x:row r="56" ht="15.75" customHeight="1">
      <x:c r="A56" s="2" t="s">
        <x:v>144</x:v>
      </x:c>
      <x:c r="B56" s="2" t="s">
        <x:v>144</x:v>
      </x:c>
      <x:c r="C56" s="3" t="e">
        <x:f>HYPERLINK("https://scan.mypinata.cloud/ipfs/bafybeih3olry3is4e4lzm7rus5l3h6zrphcal5a7ayfkhzm5oivjro2cp4/#/address/0x203e366A1821570b2f84Ff5ae8B3BdeB48Dc4fa1", "0x203e366A1821570b2f84Ff5ae8B3BdeB48Dc4fa1")</x:f>
      </x:c>
      <x:c r="D56" s="4" t="str">
        <x:f t="shared" si="1"/>
        <x:v>Atropa Dev</x:v>
      </x:c>
      <x:c r="E56" s="4" t="e">
        <x:f>HYPERLINK("https://scan.mypinata.cloud/ipfs/bafybeih3olry3is4e4lzm7rus5l3h6zrphcal5a7ayfkhzm5oivjro2cp4/#/block/18337824", "18337824")</x:f>
      </x:c>
      <x:c r="F56" s="4" t="e">
        <x:f>HYPERLINK("https://scan.mypinata.cloud/ipfs/bafybeih3olry3is4e4lzm7rus5l3h6zrphcal5a7ayfkhzm5oivjro2cp4/#/tx/0x1a830d152131292b5c7ad2a5febc875bd684ad796b31f73ebe18eb10358f10b4", "2023-09-17 15:29:05")</x:f>
      </x:c>
      <x:c r="G56" s="5">
        <x:v>800.0</x:v>
      </x:c>
      <x:c r="H56" s="5">
        <x:v>800.0</x:v>
      </x:c>
      <x:c r="I56" s="5">
        <x:v>800.0</x:v>
      </x:c>
      <x:c r="J56" s="5">
        <x:v>0.0</x:v>
      </x:c>
      <x:c r="K56" s="5">
        <x:v>0.0</x:v>
      </x:c>
      <x:c r="L56" s="2" t="s">
        <x:v>28</x:v>
      </x:c>
      <x:c r="M56" s="2" t="s">
        <x:v>28</x:v>
      </x:c>
      <x:c r="N56" s="2" t="e">
        <x:f>IFERROR(__xludf.DUMMYFUNCTION("IF(ISDATE(TO_DATE(L56)), MAX(0, ROUND(TODAY() - TO_DATE(L56)), 0), ""-"")"),"-")</x:f>
      </x:c>
      <x:c r="O56" s="2" t="e">
        <x:f>IFERROR(__xludf.DUMMYFUNCTION("IF(ISDATE(TO_DATE(M56)), MAX(0, ROUND(TODAY() - TO_DATE(M56)), 0), ""-"")"),"-")</x:f>
      </x:c>
      <x:c r="P56" s="6">
        <x:v>479.9</x:v>
      </x:c>
      <x:c r="Q56" s="6">
        <x:v>1.21176754618E7</x:v>
      </x:c>
      <x:c r="R56" s="7">
        <x:v>383920.0</x:v>
      </x:c>
      <x:c r="S56" s="7">
        <x:v>383925.0</x:v>
      </x:c>
      <x:c r="T56" s="7">
        <x:v>1936.58</x:v>
      </x:c>
      <x:c r="U56" s="7">
        <x:v>145071.09</x:v>
      </x:c>
      <x:c r="V56" s="2" t="s">
        <x:v>28</x:v>
      </x:c>
      <x:c r="W56" s="2" t="s">
        <x:v>28</x:v>
      </x:c>
      <x:c r="X56" s="2" t="s">
        <x:v>28</x:v>
      </x:c>
      <x:c r="Y56" s="2" t="s">
        <x:v>28</x:v>
      </x:c>
      <x:c r="Z56" s="9" t="s">
        <x:v>145</x:v>
      </x:c>
      <x:c r="AA56" s="57" t="str">
        <x:v>Snapshot only — run GitHub workflow</x:v>
      </x:c>
      <x:c r="AB56" s="58" t="n">
        <x:f>IFERROR(H56/G56,"")</x:f>
        <x:v>1</x:v>
      </x:c>
      <x:c r="AC56" s="57" t="str"/>
      <x:c r="AD56" s="57" t="str"/>
      <x:c r="AE56" s="57" t="str"/>
      <x:c r="AF56" s="57" t="str"/>
      <x:c r="AG56" s="2"/>
      <x:c r="AH56" s="2"/>
    </x:row>
    <x:row r="57" ht="15.75" customHeight="1">
      <x:c r="A57" s="2" t="s">
        <x:v>146</x:v>
      </x:c>
      <x:c r="B57" s="2" t="s">
        <x:v>147</x:v>
      </x:c>
      <x:c r="C57" s="3" t="e">
        <x:f>HYPERLINK("https://scan.mypinata.cloud/ipfs/bafybeih3olry3is4e4lzm7rus5l3h6zrphcal5a7ayfkhzm5oivjro2cp4/#/address/0xf8AB3393b1f5CD6184Fb6800A1fC802043C4063e", "0xf8AB3393b1f5CD6184Fb6800A1fC802043C4063e")</x:f>
      </x:c>
      <x:c r="D57" s="4" t="str">
        <x:f t="shared" si="1"/>
        <x:v>Atropa Dev</x:v>
      </x:c>
      <x:c r="E57" s="4" t="e">
        <x:f>HYPERLINK("https://scan.mypinata.cloud/ipfs/bafybeih3olry3is4e4lzm7rus5l3h6zrphcal5a7ayfkhzm5oivjro2cp4/#/block/18337909", "18337909")</x:f>
      </x:c>
      <x:c r="F57" s="4" t="e">
        <x:f>HYPERLINK("https://scan.mypinata.cloud/ipfs/bafybeih3olry3is4e4lzm7rus5l3h6zrphcal5a7ayfkhzm5oivjro2cp4/#/tx/0x97280ffdc363387fa9210620cd89a6acfdd4a1cf1e8aea2e9f8d20e120a17d2f", "2023-09-17 15:43:25")</x:f>
      </x:c>
      <x:c r="G57" s="5">
        <x:v>1.1111111111E10</x:v>
      </x:c>
      <x:c r="H57" s="5">
        <x:v>1.1111111111E10</x:v>
      </x:c>
      <x:c r="I57" s="5">
        <x:v>1.1111111110997286E10</x:v>
      </x:c>
      <x:c r="J57" s="5">
        <x:v>0.0</x:v>
      </x:c>
      <x:c r="K57" s="5">
        <x:v>0.0027141758892862</x:v>
      </x:c>
      <x:c r="L57" s="2" t="s">
        <x:v>28</x:v>
      </x:c>
      <x:c r="M57" s="4" t="e">
        <x:f>HYPERLINK("https://scan.mypinata.cloud/ipfs/bafybeih3olry3is4e4lzm7rus5l3h6zrphcal5a7ayfkhzm5oivjro2cp4/#/tx/0x134a3436fe07ca14b55a9b4543a7aba98d89cc65408b5963aca142f3eaa449c9", "2023-09-24 09:04:05")</x:f>
      </x:c>
      <x:c r="N57" s="2" t="e">
        <x:f>IFERROR(__xludf.DUMMYFUNCTION("IF(ISDATE(TO_DATE(L57)), MAX(0, ROUND(TODAY() - TO_DATE(L57)), 0), ""-"")"),"-")</x:f>
      </x:c>
      <x:c r="O57" s="2" t="e">
        <x:f>IFERROR(__xludf.DUMMYFUNCTION("IF(ISDATE(TO_DATE(M57)), MAX(0, ROUND(TODAY() - TO_DATE(M57)), 0), ""-"")"),1013.0)</x:f>
      </x:c>
      <x:c r="P57" s="6">
        <x:v>2.272E-5</x:v>
      </x:c>
      <x:c r="Q57" s="6">
        <x:v>0.5758</x:v>
      </x:c>
      <x:c r="R57" s="7">
        <x:v>252444.44444192</x:v>
      </x:c>
      <x:c r="S57" s="7">
        <x:v>252459.0</x:v>
      </x:c>
      <x:c r="T57" s="7">
        <x:v>2458.1700000000005</x:v>
      </x:c>
      <x:c r="U57" s="7">
        <x:v>165742.27000000002</x:v>
      </x:c>
      <x:c r="V57" s="2" t="s">
        <x:v>28</x:v>
      </x:c>
      <x:c r="W57" s="2" t="s">
        <x:v>28</x:v>
      </x:c>
      <x:c r="X57" s="2" t="s">
        <x:v>28</x:v>
      </x:c>
      <x:c r="Y57" s="2" t="s">
        <x:v>28</x:v>
      </x:c>
      <x:c r="Z57" s="9" t="s">
        <x:v>148</x:v>
      </x:c>
      <x:c r="AA57" s="57" t="str">
        <x:v>Snapshot only — run GitHub workflow</x:v>
      </x:c>
      <x:c r="AB57" s="58" t="n">
        <x:f>IFERROR(H57/G57,"")</x:f>
        <x:v>1</x:v>
      </x:c>
      <x:c r="AC57" s="57" t="str"/>
      <x:c r="AD57" s="57" t="str"/>
      <x:c r="AE57" s="57" t="str"/>
      <x:c r="AF57" s="57" t="str"/>
      <x:c r="AG57" s="2"/>
      <x:c r="AH57" s="2"/>
    </x:row>
    <x:row r="58" ht="15.75" customHeight="1">
      <x:c r="A58" s="2" t="s">
        <x:v>149</x:v>
      </x:c>
      <x:c r="B58" s="2" t="s">
        <x:v>150</x:v>
      </x:c>
      <x:c r="C58" s="3" t="e">
        <x:f>HYPERLINK("https://scan.mypinata.cloud/ipfs/bafybeih3olry3is4e4lzm7rus5l3h6zrphcal5a7ayfkhzm5oivjro2cp4/#/address/0x6293373BF0DAE2050641973D49b7b2f71adC91a1", "0x6293373BF0DAE2050641973D49b7b2f71adC91a1")</x:f>
      </x:c>
      <x:c r="D58" s="4" t="str">
        <x:f t="shared" si="1"/>
        <x:v>Atropa Dev</x:v>
      </x:c>
      <x:c r="E58" s="4" t="e">
        <x:f>HYPERLINK("https://scan.mypinata.cloud/ipfs/bafybeih3olry3is4e4lzm7rus5l3h6zrphcal5a7ayfkhzm5oivjro2cp4/#/block/18347989", "18347989")</x:f>
      </x:c>
      <x:c r="F58" s="4" t="e">
        <x:f>HYPERLINK("https://scan.mypinata.cloud/ipfs/bafybeih3olry3is4e4lzm7rus5l3h6zrphcal5a7ayfkhzm5oivjro2cp4/#/tx/0x487c25573a558d757e3542b068486f7eb53ef8e635080f4dd9327f21bd7bac0e", "2023-09-18 19:49:55")</x:f>
      </x:c>
      <x:c r="G58" s="5">
        <x:v>4000.0</x:v>
      </x:c>
      <x:c r="H58" s="5">
        <x:v>4000.0</x:v>
      </x:c>
      <x:c r="I58" s="5">
        <x:v>4000.0</x:v>
      </x:c>
      <x:c r="J58" s="5">
        <x:v>0.0</x:v>
      </x:c>
      <x:c r="K58" s="10" t="s">
        <x:v>151</x:v>
      </x:c>
      <x:c r="L58" s="2" t="s">
        <x:v>28</x:v>
      </x:c>
      <x:c r="M58" s="4" t="e">
        <x:f>HYPERLINK("https://scan.mypinata.cloud/ipfs/bafybeih3olry3is4e4lzm7rus5l3h6zrphcal5a7ayfkhzm5oivjro2cp4/#/tx/0x2c3f4e941c3e864a381b5b3e00fe475c9518c612e997ca7e935e79b5f1ac1519", "2024-10-11 22:04:55")</x:f>
      </x:c>
      <x:c r="N58" s="2" t="e">
        <x:f>IFERROR(__xludf.DUMMYFUNCTION("IF(ISDATE(TO_DATE(L58)), MAX(0, ROUND(TODAY() - TO_DATE(L58)), 0), ""-"")"),"-")</x:f>
      </x:c>
      <x:c r="O58" s="2" t="e">
        <x:f>IFERROR(__xludf.DUMMYFUNCTION("IF(ISDATE(TO_DATE(M58)), MAX(0, ROUND(TODAY() - TO_DATE(M58)), 0), ""-"")"),629.0)</x:f>
      </x:c>
      <x:c r="P58" s="6">
        <x:v>19.34</x:v>
      </x:c>
      <x:c r="Q58" s="6">
        <x:v>488892.8898</x:v>
      </x:c>
      <x:c r="R58" s="7">
        <x:v>77360.0</x:v>
      </x:c>
      <x:c r="S58" s="7">
        <x:v>77396.0</x:v>
      </x:c>
      <x:c r="T58" s="7">
        <x:v>1212.87</x:v>
      </x:c>
      <x:c r="U58" s="7">
        <x:v>64905.45</x:v>
      </x:c>
      <x:c r="V58" s="2" t="s">
        <x:v>28</x:v>
      </x:c>
      <x:c r="W58" s="2" t="s">
        <x:v>28</x:v>
      </x:c>
      <x:c r="X58" s="2" t="s">
        <x:v>28</x:v>
      </x:c>
      <x:c r="Y58" s="2" t="s">
        <x:v>28</x:v>
      </x:c>
      <x:c r="Z58" s="9" t="s">
        <x:v>148</x:v>
      </x:c>
      <x:c r="AA58" s="57" t="str">
        <x:v>Snapshot only — run GitHub workflow</x:v>
      </x:c>
      <x:c r="AB58" s="58" t="n">
        <x:f>IFERROR(H58/G58,"")</x:f>
        <x:v>1</x:v>
      </x:c>
      <x:c r="AC58" s="57" t="str"/>
      <x:c r="AD58" s="57" t="str"/>
      <x:c r="AE58" s="57" t="str"/>
      <x:c r="AF58" s="57" t="str"/>
      <x:c r="AG58" s="2"/>
      <x:c r="AH58" s="2"/>
    </x:row>
    <x:row r="59" ht="15.75" customHeight="1">
      <x:c r="A59" s="2" t="s">
        <x:v>149</x:v>
      </x:c>
      <x:c r="B59" s="2" t="s">
        <x:v>150</x:v>
      </x:c>
      <x:c r="C59" s="3" t="e">
        <x:f>HYPERLINK("https://scan.mypinata.cloud/ipfs/bafybeih3olry3is4e4lzm7rus5l3h6zrphcal5a7ayfkhzm5oivjro2cp4/#/address/0x8e1D639A3FdBd2072D905aDcB4Ccc6cB3fd8986E", "0x8e1D639A3FdBd2072D905aDcB4Ccc6cB3fd8986E")</x:f>
      </x:c>
      <x:c r="D59" s="4" t="str">
        <x:f t="shared" si="1"/>
        <x:v>Atropa Dev</x:v>
      </x:c>
      <x:c r="E59" s="4" t="e">
        <x:f>HYPERLINK("https://scan.mypinata.cloud/ipfs/bafybeih3olry3is4e4lzm7rus5l3h6zrphcal5a7ayfkhzm5oivjro2cp4/#/block/18348462", "18348462")</x:f>
      </x:c>
      <x:c r="F59" s="4" t="e">
        <x:f>HYPERLINK("https://scan.mypinata.cloud/ipfs/bafybeih3olry3is4e4lzm7rus5l3h6zrphcal5a7ayfkhzm5oivjro2cp4/#/tx/0xe3a80169697d5747b602127d5a3e920ed495e20f4ebcaade570904a51fdd524b", "2023-09-18 21:09:05")</x:f>
      </x:c>
      <x:c r="G59" s="5">
        <x:v>4000.0</x:v>
      </x:c>
      <x:c r="H59" s="5">
        <x:v>0.0</x:v>
      </x:c>
      <x:c r="I59" s="5">
        <x:v>0.0</x:v>
      </x:c>
      <x:c r="J59" s="5">
        <x:v>0.0</x:v>
      </x:c>
      <x:c r="K59" s="5">
        <x:v>4000.0</x:v>
      </x:c>
      <x:c r="L59" s="2" t="s">
        <x:v>28</x:v>
      </x:c>
      <x:c r="M59" s="4" t="e">
        <x:f>HYPERLINK("https://scan.mypinata.cloud/ipfs/bafybeih3olry3is4e4lzm7rus5l3h6zrphcal5a7ayfkhzm5oivjro2cp4/#/tx/0x7a408c101aa06f96f6eb4395ed84e343eba9dae9c72c79c881c91de75cdc0911", "2023-09-18 21:10:25")</x:f>
      </x:c>
      <x:c r="N59" s="2" t="e">
        <x:f>IFERROR(__xludf.DUMMYFUNCTION("IF(ISDATE(TO_DATE(L59)), MAX(0, ROUND(TODAY() - TO_DATE(L59)), 0), ""-"")"),"-")</x:f>
      </x:c>
      <x:c r="O59" s="2" t="e">
        <x:f>IFERROR(__xludf.DUMMYFUNCTION("IF(ISDATE(TO_DATE(M59)), MAX(0, ROUND(TODAY() - TO_DATE(M59)), 0), ""-"")"),1018.0)</x:f>
      </x:c>
      <x:c r="P59" s="2" t="s">
        <x:v>28</x:v>
      </x:c>
      <x:c r="Q59" s="2" t="s">
        <x:v>28</x:v>
      </x:c>
      <x:c r="R59" s="2" t="s">
        <x:v>28</x:v>
      </x:c>
      <x:c r="S59" s="2" t="s">
        <x:v>28</x:v>
      </x:c>
      <x:c r="T59" s="2" t="s">
        <x:v>28</x:v>
      </x:c>
      <x:c r="U59" s="2" t="s">
        <x:v>28</x:v>
      </x:c>
      <x:c r="V59" s="2" t="s">
        <x:v>28</x:v>
      </x:c>
      <x:c r="W59" s="2" t="s">
        <x:v>28</x:v>
      </x:c>
      <x:c r="X59" s="2" t="s">
        <x:v>28</x:v>
      </x:c>
      <x:c r="Y59" s="2" t="s">
        <x:v>28</x:v>
      </x:c>
      <x:c r="Z59" s="9" t="s">
        <x:v>148</x:v>
      </x:c>
      <x:c r="AA59" s="57" t="str">
        <x:v>Snapshot only — run GitHub workflow</x:v>
      </x:c>
      <x:c r="AB59" s="58" t="n">
        <x:f>IFERROR(H59/G59,"")</x:f>
        <x:v>0</x:v>
      </x:c>
      <x:c r="AC59" s="57" t="str"/>
      <x:c r="AD59" s="57" t="str"/>
      <x:c r="AE59" s="57" t="str"/>
      <x:c r="AF59" s="57" t="str"/>
      <x:c r="AG59" s="2"/>
      <x:c r="AH59" s="2"/>
    </x:row>
    <x:row r="60" ht="15.75" customHeight="1">
      <x:c r="A60" s="2" t="s">
        <x:v>152</x:v>
      </x:c>
      <x:c r="B60" s="2" t="s">
        <x:v>153</x:v>
      </x:c>
      <x:c r="C60" s="3" t="e">
        <x:f>HYPERLINK("https://scan.mypinata.cloud/ipfs/bafybeih3olry3is4e4lzm7rus5l3h6zrphcal5a7ayfkhzm5oivjro2cp4/#/address/0xd6077A029Fb5BEF33b02391D7f0349c345F6DDb1", "0xd6077A029Fb5BEF33b02391D7f0349c345F6DDb1")</x:f>
      </x:c>
      <x:c r="D60" s="4" t="str">
        <x:f t="shared" si="1"/>
        <x:v>Atropa Dev</x:v>
      </x:c>
      <x:c r="E60" s="4" t="e">
        <x:f>HYPERLINK("https://scan.mypinata.cloud/ipfs/bafybeih3olry3is4e4lzm7rus5l3h6zrphcal5a7ayfkhzm5oivjro2cp4/#/block/18348494", "18348494")</x:f>
      </x:c>
      <x:c r="F60" s="4" t="e">
        <x:f>HYPERLINK("https://scan.mypinata.cloud/ipfs/bafybeih3olry3is4e4lzm7rus5l3h6zrphcal5a7ayfkhzm5oivjro2cp4/#/tx/0x6c0408854ffa174ef35b4b8bf8e38e728b282f70489cb429ebfc703ef328403e", "2023-09-18 21:14:25")</x:f>
      </x:c>
      <x:c r="G60" s="5">
        <x:v>4.0E9</x:v>
      </x:c>
      <x:c r="H60" s="5">
        <x:v>4.0E9</x:v>
      </x:c>
      <x:c r="I60" s="5">
        <x:v>4.0E9</x:v>
      </x:c>
      <x:c r="J60" s="5">
        <x:v>0.0</x:v>
      </x:c>
      <x:c r="K60" s="5">
        <x:v>0.0</x:v>
      </x:c>
      <x:c r="L60" s="2" t="s">
        <x:v>28</x:v>
      </x:c>
      <x:c r="M60" s="2" t="s">
        <x:v>28</x:v>
      </x:c>
      <x:c r="N60" s="2" t="e">
        <x:f>IFERROR(__xludf.DUMMYFUNCTION("IF(ISDATE(TO_DATE(L60)), MAX(0, ROUND(TODAY() - TO_DATE(L60)), 0), ""-"")"),"-")</x:f>
      </x:c>
      <x:c r="O60" s="2" t="e">
        <x:f>IFERROR(__xludf.DUMMYFUNCTION("IF(ISDATE(TO_DATE(M60)), MAX(0, ROUND(TODAY() - TO_DATE(M60)), 0), ""-"")"),"-")</x:f>
      </x:c>
      <x:c r="P60" s="6">
        <x:v>8.354E-5</x:v>
      </x:c>
      <x:c r="Q60" s="6">
        <x:v>2.09837</x:v>
      </x:c>
      <x:c r="R60" s="7">
        <x:v>334160.0</x:v>
      </x:c>
      <x:c r="S60" s="7">
        <x:v>334161.0</x:v>
      </x:c>
      <x:c r="T60" s="7">
        <x:v>4085.3</x:v>
      </x:c>
      <x:c r="U60" s="7">
        <x:v>425718.4599999999</x:v>
      </x:c>
      <x:c r="V60" s="2" t="s">
        <x:v>28</x:v>
      </x:c>
      <x:c r="W60" s="2" t="s">
        <x:v>28</x:v>
      </x:c>
      <x:c r="X60" s="2" t="s">
        <x:v>28</x:v>
      </x:c>
      <x:c r="Y60" s="2" t="s">
        <x:v>28</x:v>
      </x:c>
      <x:c r="Z60" s="9" t="s">
        <x:v>138</x:v>
      </x:c>
      <x:c r="AA60" s="57" t="str">
        <x:v>Snapshot only — run GitHub workflow</x:v>
      </x:c>
      <x:c r="AB60" s="58" t="n">
        <x:f>IFERROR(H60/G60,"")</x:f>
        <x:v>1</x:v>
      </x:c>
      <x:c r="AC60" s="57" t="str"/>
      <x:c r="AD60" s="57" t="str"/>
      <x:c r="AE60" s="57" t="str"/>
      <x:c r="AF60" s="57" t="str"/>
      <x:c r="AG60" s="2"/>
      <x:c r="AH60" s="2"/>
    </x:row>
    <x:row r="61" ht="15.75" customHeight="1">
      <x:c r="A61" s="2" t="s">
        <x:v>154</x:v>
      </x:c>
      <x:c r="B61" s="2" t="s">
        <x:v>155</x:v>
      </x:c>
      <x:c r="C61" s="3" t="e">
        <x:f>HYPERLINK("https://scan.mypinata.cloud/ipfs/bafybeih3olry3is4e4lzm7rus5l3h6zrphcal5a7ayfkhzm5oivjro2cp4/#/address/0x50E72874dCd7C198d370ac27c7B3cce9f9a0defd", "0x50E72874dCd7C198d370ac27c7B3cce9f9a0defd")</x:f>
      </x:c>
      <x:c r="D61" s="4" t="str">
        <x:f t="shared" si="1"/>
        <x:v>Atropa Dev</x:v>
      </x:c>
      <x:c r="E61" s="4" t="e">
        <x:f>HYPERLINK("https://scan.mypinata.cloud/ipfs/bafybeih3olry3is4e4lzm7rus5l3h6zrphcal5a7ayfkhzm5oivjro2cp4/#/block/18349158", "18349158")</x:f>
      </x:c>
      <x:c r="F61" s="4" t="e">
        <x:f>HYPERLINK("https://scan.mypinata.cloud/ipfs/bafybeih3olry3is4e4lzm7rus5l3h6zrphcal5a7ayfkhzm5oivjro2cp4/#/tx/0xb697f338558abbd75cc07f69b0b5f13b8767dbe7955a97c64c272610a7c9bd18", "2023-09-18 23:05:35")</x:f>
      </x:c>
      <x:c r="G61" s="5">
        <x:v>111.0</x:v>
      </x:c>
      <x:c r="H61" s="5">
        <x:v>111.0</x:v>
      </x:c>
      <x:c r="I61" s="5">
        <x:v>111.0</x:v>
      </x:c>
      <x:c r="J61" s="5">
        <x:v>0.0</x:v>
      </x:c>
      <x:c r="K61" s="5">
        <x:v>0.0</x:v>
      </x:c>
      <x:c r="L61" s="2" t="s">
        <x:v>28</x:v>
      </x:c>
      <x:c r="M61" s="2" t="s">
        <x:v>28</x:v>
      </x:c>
      <x:c r="N61" s="2" t="e">
        <x:f>IFERROR(__xludf.DUMMYFUNCTION("IF(ISDATE(TO_DATE(L61)), MAX(0, ROUND(TODAY() - TO_DATE(L61)), 0), ""-"")"),"-")</x:f>
      </x:c>
      <x:c r="O61" s="2" t="e">
        <x:f>IFERROR(__xludf.DUMMYFUNCTION("IF(ISDATE(TO_DATE(M61)), MAX(0, ROUND(TODAY() - TO_DATE(M61)), 0), ""-"")"),"-")</x:f>
      </x:c>
      <x:c r="P61" s="6">
        <x:v>3036.78</x:v>
      </x:c>
      <x:c r="Q61" s="6">
        <x:v>7.70250376889E7</x:v>
      </x:c>
      <x:c r="R61" s="7">
        <x:v>337082.58</x:v>
      </x:c>
      <x:c r="S61" s="7">
        <x:v>337083.0</x:v>
      </x:c>
      <x:c r="T61" s="7">
        <x:v>534.63</x:v>
      </x:c>
      <x:c r="U61" s="7">
        <x:v>116360.41</x:v>
      </x:c>
      <x:c r="V61" s="2" t="s">
        <x:v>28</x:v>
      </x:c>
      <x:c r="W61" s="2" t="s">
        <x:v>28</x:v>
      </x:c>
      <x:c r="X61" s="2" t="s">
        <x:v>28</x:v>
      </x:c>
      <x:c r="Y61" s="2" t="s">
        <x:v>28</x:v>
      </x:c>
      <x:c r="Z61" s="9" t="s">
        <x:v>105</x:v>
      </x:c>
      <x:c r="AA61" s="57" t="str">
        <x:v>Snapshot only — run GitHub workflow</x:v>
      </x:c>
      <x:c r="AB61" s="58" t="n">
        <x:f>IFERROR(H61/G61,"")</x:f>
        <x:v>1</x:v>
      </x:c>
      <x:c r="AC61" s="57" t="str"/>
      <x:c r="AD61" s="57" t="str"/>
      <x:c r="AE61" s="57" t="str"/>
      <x:c r="AF61" s="57" t="str"/>
      <x:c r="AG61" s="2"/>
      <x:c r="AH61" s="2"/>
    </x:row>
    <x:row r="62" ht="15.75" customHeight="1">
      <x:c r="A62" s="2" t="s">
        <x:v>156</x:v>
      </x:c>
      <x:c r="B62" s="2" t="s">
        <x:v>157</x:v>
      </x:c>
      <x:c r="C62" s="3" t="e">
        <x:f>HYPERLINK("https://scan.mypinata.cloud/ipfs/bafybeih3olry3is4e4lzm7rus5l3h6zrphcal5a7ayfkhzm5oivjro2cp4/#/address/0x83a918056aB9316837Dc48a216119D679D561d91", "0x83a918056aB9316837Dc48a216119D679D561d91")</x:f>
      </x:c>
      <x:c r="D62" s="4" t="str">
        <x:f t="shared" si="1"/>
        <x:v>Atropa Dev</x:v>
      </x:c>
      <x:c r="E62" s="4" t="e">
        <x:f>HYPERLINK("https://scan.mypinata.cloud/ipfs/bafybeih3olry3is4e4lzm7rus5l3h6zrphcal5a7ayfkhzm5oivjro2cp4/#/block/18352722", "18352722")</x:f>
      </x:c>
      <x:c r="F62" s="4" t="e">
        <x:f>HYPERLINK("https://scan.mypinata.cloud/ipfs/bafybeih3olry3is4e4lzm7rus5l3h6zrphcal5a7ayfkhzm5oivjro2cp4/#/tx/0x97468ba10f73c40c2d4ebac1908f651e6f663b914370f426c25711038375a125", "2023-09-19 09:01:35")</x:f>
      </x:c>
      <x:c r="G62" s="5">
        <x:v>999.0</x:v>
      </x:c>
      <x:c r="H62" s="5">
        <x:v>999.0</x:v>
      </x:c>
      <x:c r="I62" s="5">
        <x:v>999.0</x:v>
      </x:c>
      <x:c r="J62" s="5">
        <x:v>0.0</x:v>
      </x:c>
      <x:c r="K62" s="5">
        <x:v>0.0</x:v>
      </x:c>
      <x:c r="L62" s="2" t="s">
        <x:v>28</x:v>
      </x:c>
      <x:c r="M62" s="2" t="s">
        <x:v>28</x:v>
      </x:c>
      <x:c r="N62" s="2" t="e">
        <x:f>IFERROR(__xludf.DUMMYFUNCTION("IF(ISDATE(TO_DATE(L62)), MAX(0, ROUND(TODAY() - TO_DATE(L62)), 0), ""-"")"),"-")</x:f>
      </x:c>
      <x:c r="O62" s="2" t="e">
        <x:f>IFERROR(__xludf.DUMMYFUNCTION("IF(ISDATE(TO_DATE(M62)), MAX(0, ROUND(TODAY() - TO_DATE(M62)), 0), ""-"")"),"-")</x:f>
      </x:c>
      <x:c r="P62" s="6">
        <x:v>209.25</x:v>
      </x:c>
      <x:c r="Q62" s="6">
        <x:v>5303997.4597</x:v>
      </x:c>
      <x:c r="R62" s="7">
        <x:v>209040.75</x:v>
      </x:c>
      <x:c r="S62" s="7">
        <x:v>209048.0</x:v>
      </x:c>
      <x:c r="T62" s="7">
        <x:v>116.82</x:v>
      </x:c>
      <x:c r="U62" s="7">
        <x:v>2047.41</x:v>
      </x:c>
      <x:c r="V62" s="2" t="s">
        <x:v>28</x:v>
      </x:c>
      <x:c r="W62" s="2" t="s">
        <x:v>28</x:v>
      </x:c>
      <x:c r="X62" s="2" t="s">
        <x:v>28</x:v>
      </x:c>
      <x:c r="Y62" s="2" t="s">
        <x:v>28</x:v>
      </x:c>
      <x:c r="Z62" s="9" t="s">
        <x:v>158</x:v>
      </x:c>
      <x:c r="AA62" s="57" t="str">
        <x:v>Snapshot only — run GitHub workflow</x:v>
      </x:c>
      <x:c r="AB62" s="58" t="n">
        <x:f>IFERROR(H62/G62,"")</x:f>
        <x:v>1</x:v>
      </x:c>
      <x:c r="AC62" s="57" t="str"/>
      <x:c r="AD62" s="57" t="str"/>
      <x:c r="AE62" s="57" t="str"/>
      <x:c r="AF62" s="57" t="str"/>
      <x:c r="AG62" s="2"/>
      <x:c r="AH62" s="2"/>
    </x:row>
    <x:row r="63" ht="15.75" customHeight="1">
      <x:c r="A63" s="2" t="s">
        <x:v>159</x:v>
      </x:c>
      <x:c r="B63" s="2" t="s">
        <x:v>160</x:v>
      </x:c>
      <x:c r="C63" s="3" t="e">
        <x:f>HYPERLINK("https://scan.mypinata.cloud/ipfs/bafybeih3olry3is4e4lzm7rus5l3h6zrphcal5a7ayfkhzm5oivjro2cp4/#/address/0xb9A44De20f26a027e467CB6c2F98766F01904189", "0xb9A44De20f26a027e467CB6c2F98766F01904189")</x:f>
      </x:c>
      <x:c r="D63" s="4" t="str">
        <x:f t="shared" si="1"/>
        <x:v>Atropa Dev</x:v>
      </x:c>
      <x:c r="E63" s="4" t="e">
        <x:f>HYPERLINK("https://scan.mypinata.cloud/ipfs/bafybeih3olry3is4e4lzm7rus5l3h6zrphcal5a7ayfkhzm5oivjro2cp4/#/block/18352734", "18352734")</x:f>
      </x:c>
      <x:c r="F63" s="4" t="e">
        <x:f>HYPERLINK("https://scan.mypinata.cloud/ipfs/bafybeih3olry3is4e4lzm7rus5l3h6zrphcal5a7ayfkhzm5oivjro2cp4/#/tx/0xfdcffd143e85f5db10ea668959a4e7455414058d904dd16dcfa2ec880d482039", "2023-09-19 09:03:35")</x:f>
      </x:c>
      <x:c r="G63" s="5">
        <x:v>999.0</x:v>
      </x:c>
      <x:c r="H63" s="5">
        <x:v>999.0</x:v>
      </x:c>
      <x:c r="I63" s="5">
        <x:v>999.0</x:v>
      </x:c>
      <x:c r="J63" s="5">
        <x:v>0.0</x:v>
      </x:c>
      <x:c r="K63" s="5">
        <x:v>0.0</x:v>
      </x:c>
      <x:c r="L63" s="2" t="s">
        <x:v>28</x:v>
      </x:c>
      <x:c r="M63" s="2" t="s">
        <x:v>28</x:v>
      </x:c>
      <x:c r="N63" s="2" t="e">
        <x:f>IFERROR(__xludf.DUMMYFUNCTION("IF(ISDATE(TO_DATE(L63)), MAX(0, ROUND(TODAY() - TO_DATE(L63)), 0), ""-"")"),"-")</x:f>
      </x:c>
      <x:c r="O63" s="2" t="e">
        <x:f>IFERROR(__xludf.DUMMYFUNCTION("IF(ISDATE(TO_DATE(M63)), MAX(0, ROUND(TODAY() - TO_DATE(M63)), 0), ""-"")"),"-")</x:f>
      </x:c>
      <x:c r="P63" s="6">
        <x:v>179.08</x:v>
      </x:c>
      <x:c r="Q63" s="6">
        <x:v>4659180.25</x:v>
      </x:c>
      <x:c r="R63" s="7">
        <x:v>178900.92</x:v>
      </x:c>
      <x:c r="S63" s="7">
        <x:v>178901.0</x:v>
      </x:c>
      <x:c r="T63" s="7">
        <x:v>58.86</x:v>
      </x:c>
      <x:c r="U63" s="7">
        <x:v>15676.27</x:v>
      </x:c>
      <x:c r="V63" s="2" t="s">
        <x:v>28</x:v>
      </x:c>
      <x:c r="W63" s="2" t="s">
        <x:v>28</x:v>
      </x:c>
      <x:c r="X63" s="2" t="s">
        <x:v>28</x:v>
      </x:c>
      <x:c r="Y63" s="2" t="s">
        <x:v>28</x:v>
      </x:c>
      <x:c r="Z63" s="9" t="s">
        <x:v>161</x:v>
      </x:c>
      <x:c r="AA63" s="57" t="str">
        <x:v>Snapshot only — run GitHub workflow</x:v>
      </x:c>
      <x:c r="AB63" s="58" t="n">
        <x:f>IFERROR(H63/G63,"")</x:f>
        <x:v>1</x:v>
      </x:c>
      <x:c r="AC63" s="57" t="str"/>
      <x:c r="AD63" s="57" t="str"/>
      <x:c r="AE63" s="57" t="str"/>
      <x:c r="AF63" s="57" t="str"/>
      <x:c r="AG63" s="2"/>
      <x:c r="AH63" s="2"/>
    </x:row>
    <x:row r="64" ht="15.75" customHeight="1">
      <x:c r="A64" s="2" t="s">
        <x:v>162</x:v>
      </x:c>
      <x:c r="B64" s="2" t="s">
        <x:v>163</x:v>
      </x:c>
      <x:c r="C64" s="3" t="e">
        <x:f>HYPERLINK("https://scan.mypinata.cloud/ipfs/bafybeih3olry3is4e4lzm7rus5l3h6zrphcal5a7ayfkhzm5oivjro2cp4/#/address/0xe5d3A6e88590fc2A8037D9CCbd816C05B1ff5f11", "0xe5d3A6e88590fc2A8037D9CCbd816C05B1ff5f11")</x:f>
      </x:c>
      <x:c r="D64" s="4" t="str">
        <x:f t="shared" si="1"/>
        <x:v>Atropa Dev</x:v>
      </x:c>
      <x:c r="E64" s="4" t="e">
        <x:f>HYPERLINK("https://scan.mypinata.cloud/ipfs/bafybeih3olry3is4e4lzm7rus5l3h6zrphcal5a7ayfkhzm5oivjro2cp4/#/block/18352736", "18352736")</x:f>
      </x:c>
      <x:c r="F64" s="4" t="e">
        <x:f>HYPERLINK("https://scan.mypinata.cloud/ipfs/bafybeih3olry3is4e4lzm7rus5l3h6zrphcal5a7ayfkhzm5oivjro2cp4/#/tx/0x1ebbfc0e0862695d8b958e7ef9f985d5d32618bca2b7f9dec3d52d245f50d7a4", "2023-09-19 09:03:55")</x:f>
      </x:c>
      <x:c r="G64" s="5">
        <x:v>999.0</x:v>
      </x:c>
      <x:c r="H64" s="5">
        <x:v>999.0</x:v>
      </x:c>
      <x:c r="I64" s="5">
        <x:v>999.0</x:v>
      </x:c>
      <x:c r="J64" s="5">
        <x:v>0.0</x:v>
      </x:c>
      <x:c r="K64" s="5">
        <x:v>0.0</x:v>
      </x:c>
      <x:c r="L64" s="2" t="s">
        <x:v>28</x:v>
      </x:c>
      <x:c r="M64" s="2" t="s">
        <x:v>28</x:v>
      </x:c>
      <x:c r="N64" s="2" t="e">
        <x:f>IFERROR(__xludf.DUMMYFUNCTION("IF(ISDATE(TO_DATE(L64)), MAX(0, ROUND(TODAY() - TO_DATE(L64)), 0), ""-"")"),"-")</x:f>
      </x:c>
      <x:c r="O64" s="2" t="e">
        <x:f>IFERROR(__xludf.DUMMYFUNCTION("IF(ISDATE(TO_DATE(M64)), MAX(0, ROUND(TODAY() - TO_DATE(M64)), 0), ""-"")"),"-")</x:f>
      </x:c>
      <x:c r="P64" s="6">
        <x:v>101.55</x:v>
      </x:c>
      <x:c r="Q64" s="6">
        <x:v>2551338.08731</x:v>
      </x:c>
      <x:c r="R64" s="7">
        <x:v>101448.45</x:v>
      </x:c>
      <x:c r="S64" s="7">
        <x:v>101457.0</x:v>
      </x:c>
      <x:c r="T64" s="7">
        <x:v>97.7</x:v>
      </x:c>
      <x:c r="U64" s="7">
        <x:v>1476.06</x:v>
      </x:c>
      <x:c r="V64" s="2" t="s">
        <x:v>28</x:v>
      </x:c>
      <x:c r="W64" s="2" t="s">
        <x:v>28</x:v>
      </x:c>
      <x:c r="X64" s="2" t="s">
        <x:v>28</x:v>
      </x:c>
      <x:c r="Y64" s="2" t="s">
        <x:v>28</x:v>
      </x:c>
      <x:c r="Z64" s="9" t="s">
        <x:v>158</x:v>
      </x:c>
      <x:c r="AA64" s="57" t="str">
        <x:v>Snapshot only — run GitHub workflow</x:v>
      </x:c>
      <x:c r="AB64" s="58" t="n">
        <x:f>IFERROR(H64/G64,"")</x:f>
        <x:v>1</x:v>
      </x:c>
      <x:c r="AC64" s="57" t="str"/>
      <x:c r="AD64" s="57" t="str"/>
      <x:c r="AE64" s="57" t="str"/>
      <x:c r="AF64" s="57" t="str"/>
      <x:c r="AG64" s="2"/>
      <x:c r="AH64" s="2"/>
    </x:row>
    <x:row r="65" ht="15.75" customHeight="1">
      <x:c r="A65" s="11" t="s">
        <x:v>164</x:v>
      </x:c>
      <x:c r="B65" s="11" t="s">
        <x:v>165</x:v>
      </x:c>
      <x:c r="C65" s="3" t="e">
        <x:f>HYPERLINK("https://scan.mypinata.cloud/ipfs/bafybeih3olry3is4e4lzm7rus5l3h6zrphcal5a7ayfkhzm5oivjro2cp4/#/address/0x7FB09EE1a2c0E8b6D1c4E19C0248B3CbC0113af6", "0x7FB09EE1a2c0E8b6D1c4E19C0248B3CbC0113af6")</x:f>
      </x:c>
      <x:c r="D65" s="4" t="str">
        <x:f t="shared" si="1"/>
        <x:v>Atropa Dev</x:v>
      </x:c>
      <x:c r="E65" s="4" t="e">
        <x:f>HYPERLINK("https://scan.mypinata.cloud/ipfs/bafybeih3olry3is4e4lzm7rus5l3h6zrphcal5a7ayfkhzm5oivjro2cp4/#/block/18374041", "18374041")</x:f>
      </x:c>
      <x:c r="F65" s="4" t="e">
        <x:f>HYPERLINK("https://scan.mypinata.cloud/ipfs/bafybeih3olry3is4e4lzm7rus5l3h6zrphcal5a7ayfkhzm5oivjro2cp4/#/tx/0x4526eeab854f4c4655ad81edbe971649284e43ea988d0f23f335d13e7eb18eb3", "2023-09-21 20:25:25")</x:f>
      </x:c>
      <x:c r="G65" s="5">
        <x:v>1.94802701E8</x:v>
      </x:c>
      <x:c r="H65" s="5">
        <x:v>1.94802701E8</x:v>
      </x:c>
      <x:c r="I65" s="5">
        <x:v>1.94802701E8</x:v>
      </x:c>
      <x:c r="J65" s="5">
        <x:v>0.0</x:v>
      </x:c>
      <x:c r="K65" s="5">
        <x:v>0.0</x:v>
      </x:c>
      <x:c r="L65" s="2" t="s">
        <x:v>28</x:v>
      </x:c>
      <x:c r="M65" s="2" t="s">
        <x:v>28</x:v>
      </x:c>
      <x:c r="N65" s="2" t="e">
        <x:f>IFERROR(__xludf.DUMMYFUNCTION("IF(ISDATE(TO_DATE(L65)), MAX(0, ROUND(TODAY() - TO_DATE(L65)), 0), ""-"")"),"-")</x:f>
      </x:c>
      <x:c r="O65" s="2" t="e">
        <x:f>IFERROR(__xludf.DUMMYFUNCTION("IF(ISDATE(TO_DATE(M65)), MAX(0, ROUND(TODAY() - TO_DATE(M65)), 0), ""-"")"),"-")</x:f>
      </x:c>
      <x:c r="P65" s="6">
        <x:v>6.608E-4</x:v>
      </x:c>
      <x:c r="Q65" s="6">
        <x:v>16.601</x:v>
      </x:c>
      <x:c r="R65" s="7">
        <x:v>128725.6248208</x:v>
      </x:c>
      <x:c r="S65" s="7">
        <x:v>128730.0</x:v>
      </x:c>
      <x:c r="T65" s="7">
        <x:v>1270.77</x:v>
      </x:c>
      <x:c r="U65" s="7">
        <x:v>66020.98</x:v>
      </x:c>
      <x:c r="V65" s="2" t="s">
        <x:v>28</x:v>
      </x:c>
      <x:c r="W65" s="2" t="s">
        <x:v>28</x:v>
      </x:c>
      <x:c r="X65" s="2" t="s">
        <x:v>28</x:v>
      </x:c>
      <x:c r="Y65" s="2" t="s">
        <x:v>28</x:v>
      </x:c>
      <x:c r="Z65" s="9" t="s">
        <x:v>138</x:v>
      </x:c>
      <x:c r="AA65" s="57" t="str">
        <x:v>Snapshot only — run GitHub workflow</x:v>
      </x:c>
      <x:c r="AB65" s="58" t="n">
        <x:f>IFERROR(H65/G65,"")</x:f>
        <x:v>1</x:v>
      </x:c>
      <x:c r="AC65" s="57" t="str"/>
      <x:c r="AD65" s="57" t="str"/>
      <x:c r="AE65" s="57" t="str"/>
      <x:c r="AF65" s="57" t="str"/>
      <x:c r="AG65" s="2"/>
      <x:c r="AH65" s="2"/>
    </x:row>
    <x:row r="66" ht="15.75" customHeight="1">
      <x:c r="A66" s="2" t="s">
        <x:v>166</x:v>
      </x:c>
      <x:c r="B66" s="2" t="s">
        <x:v>167</x:v>
      </x:c>
      <x:c r="C66" s="3" t="e">
        <x:f>HYPERLINK("https://scan.mypinata.cloud/ipfs/bafybeih3olry3is4e4lzm7rus5l3h6zrphcal5a7ayfkhzm5oivjro2cp4/#/address/0xb4C1248812dAbF72cb2e82175b4c0aCffE4D2b10", "0xb4C1248812dAbF72cb2e82175b4c0aCffE4D2b10")</x:f>
      </x:c>
      <x:c r="D66" s="4" t="str">
        <x:f t="shared" si="1"/>
        <x:v>Atropa Dev</x:v>
      </x:c>
      <x:c r="E66" s="4" t="e">
        <x:f>HYPERLINK("https://scan.mypinata.cloud/ipfs/bafybeih3olry3is4e4lzm7rus5l3h6zrphcal5a7ayfkhzm5oivjro2cp4/#/block/18381127", "18381127")</x:f>
      </x:c>
      <x:c r="F66" s="4" t="e">
        <x:f>HYPERLINK("https://scan.mypinata.cloud/ipfs/bafybeih3olry3is4e4lzm7rus5l3h6zrphcal5a7ayfkhzm5oivjro2cp4/#/tx/0xc7feb7bbedf5b7c66b924c822f5d517b7dcbd9023c852fa53084d55c8f453ab8", "2023-09-22 16:10:15")</x:f>
      </x:c>
      <x:c r="G66" s="5">
        <x:v>557.0011915871637</x:v>
      </x:c>
      <x:c r="H66" s="5">
        <x:v>557.0011915871637</x:v>
      </x:c>
      <x:c r="I66" s="5">
        <x:v>557.0011915871637</x:v>
      </x:c>
      <x:c r="J66" s="5">
        <x:v>0.0</x:v>
      </x:c>
      <x:c r="K66" s="5">
        <x:v>0.0</x:v>
      </x:c>
      <x:c r="L66" s="2" t="s">
        <x:v>28</x:v>
      </x:c>
      <x:c r="M66" s="2" t="s">
        <x:v>28</x:v>
      </x:c>
      <x:c r="N66" s="2" t="e">
        <x:f>IFERROR(__xludf.DUMMYFUNCTION("IF(ISDATE(TO_DATE(L66)), MAX(0, ROUND(TODAY() - TO_DATE(L66)), 0), ""-"")"),"-")</x:f>
      </x:c>
      <x:c r="O66" s="2" t="e">
        <x:f>IFERROR(__xludf.DUMMYFUNCTION("IF(ISDATE(TO_DATE(M66)), MAX(0, ROUND(TODAY() - TO_DATE(M66)), 0), ""-"")"),"-")</x:f>
      </x:c>
      <x:c r="P66" s="6">
        <x:v>260.23</x:v>
      </x:c>
      <x:c r="Q66" s="6">
        <x:v>6570809.3569</x:v>
      </x:c>
      <x:c r="R66" s="7">
        <x:v>144948.42008672762</x:v>
      </x:c>
      <x:c r="S66" s="7">
        <x:v>144950.0</x:v>
      </x:c>
      <x:c r="T66" s="7">
        <x:v>462.25</x:v>
      </x:c>
      <x:c r="U66" s="7">
        <x:v>17593.260000000002</x:v>
      </x:c>
      <x:c r="V66" s="8" t="n">
        <x:f t="shared" ref="V66:W66" si="3">-0.07%</x:f>
        <x:v>-0.0007000000000000001</x:v>
      </x:c>
      <x:c r="W66" s="8" t="str">
        <x:f t="shared" si="3"/>
        <x:v>-0.07%</x:v>
      </x:c>
      <x:c r="X66" s="8" t="n">
        <x:f t="array" ref="X66">-3.84%</x:f>
        <x:v>-0.0384</x:v>
      </x:c>
      <x:c r="Y66" s="8" t="n">
        <x:f t="array" ref="Y66">3.97%</x:f>
        <x:v>0.0397</x:v>
      </x:c>
      <x:c r="Z66" s="9" t="s">
        <x:v>158</x:v>
      </x:c>
      <x:c r="AA66" s="57" t="str">
        <x:v>Snapshot only — run GitHub workflow</x:v>
      </x:c>
      <x:c r="AB66" s="58" t="n">
        <x:f>IFERROR(H66/G66,"")</x:f>
        <x:v>1</x:v>
      </x:c>
      <x:c r="AC66" s="57" t="str"/>
      <x:c r="AD66" s="57" t="str"/>
      <x:c r="AE66" s="57" t="str"/>
      <x:c r="AF66" s="57" t="str"/>
      <x:c r="AG66" s="2"/>
      <x:c r="AH66" s="2"/>
    </x:row>
    <x:row r="67" ht="15.75" customHeight="1">
      <x:c r="A67" s="2" t="s">
        <x:v>168</x:v>
      </x:c>
      <x:c r="B67" s="2" t="s">
        <x:v>169</x:v>
      </x:c>
      <x:c r="C67" s="3" t="e">
        <x:f>HYPERLINK("https://scan.mypinata.cloud/ipfs/bafybeih3olry3is4e4lzm7rus5l3h6zrphcal5a7ayfkhzm5oivjro2cp4/#/address/0x22811d185d2996841E79F2668Af87e574890aeF8", "0x22811d185d2996841E79F2668Af87e574890aeF8")</x:f>
      </x:c>
      <x:c r="D67" s="4" t="str">
        <x:f t="shared" si="1"/>
        <x:v>Atropa Dev</x:v>
      </x:c>
      <x:c r="E67" s="4" t="e">
        <x:f>HYPERLINK("https://scan.mypinata.cloud/ipfs/bafybeih3olry3is4e4lzm7rus5l3h6zrphcal5a7ayfkhzm5oivjro2cp4/#/block/18381169", "18381169")</x:f>
      </x:c>
      <x:c r="F67" s="4" t="e">
        <x:f>HYPERLINK("https://scan.mypinata.cloud/ipfs/bafybeih3olry3is4e4lzm7rus5l3h6zrphcal5a7ayfkhzm5oivjro2cp4/#/tx/0x5b09957979977b8c948e869a5373d354d9f54bb66538fc5177f7fb9b1853d23b", "2023-09-22 16:17:15")</x:f>
      </x:c>
      <x:c r="G67" s="5">
        <x:v>666.0</x:v>
      </x:c>
      <x:c r="H67" s="5">
        <x:v>666.0</x:v>
      </x:c>
      <x:c r="I67" s="5">
        <x:v>666.0</x:v>
      </x:c>
      <x:c r="J67" s="5">
        <x:v>0.0</x:v>
      </x:c>
      <x:c r="K67" s="5">
        <x:v>0.0</x:v>
      </x:c>
      <x:c r="L67" s="2" t="s">
        <x:v>28</x:v>
      </x:c>
      <x:c r="M67" s="2" t="s">
        <x:v>28</x:v>
      </x:c>
      <x:c r="N67" s="2" t="e">
        <x:f>IFERROR(__xludf.DUMMYFUNCTION("IF(ISDATE(TO_DATE(L67)), MAX(0, ROUND(TODAY() - TO_DATE(L67)), 0), ""-"")"),"-")</x:f>
      </x:c>
      <x:c r="O67" s="2" t="e">
        <x:f>IFERROR(__xludf.DUMMYFUNCTION("IF(ISDATE(TO_DATE(M67)), MAX(0, ROUND(TODAY() - TO_DATE(M67)), 0), ""-"")"),"-")</x:f>
      </x:c>
      <x:c r="P67" s="6">
        <x:v>9.73</x:v>
      </x:c>
      <x:c r="Q67" s="6">
        <x:v>245789.1963</x:v>
      </x:c>
      <x:c r="R67" s="7">
        <x:v>6480.18</x:v>
      </x:c>
      <x:c r="S67" s="7">
        <x:v>6483.0</x:v>
      </x:c>
      <x:c r="T67" s="7">
        <x:v>19.400000000000002</x:v>
      </x:c>
      <x:c r="U67" s="7">
        <x:v>1428.8899999999999</x:v>
      </x:c>
      <x:c r="V67" s="8" t="n">
        <x:f t="shared" ref="V67:W67" si="4">-0.73%</x:f>
        <x:v>-0.0073</x:v>
      </x:c>
      <x:c r="W67" s="8" t="str">
        <x:f t="shared" si="4"/>
        <x:v>-0.73%</x:v>
      </x:c>
      <x:c r="X67" s="8" t="n">
        <x:f t="array" ref="X67">-3.34%</x:f>
        <x:v>-0.0334</x:v>
      </x:c>
      <x:c r="Y67" s="8" t="n">
        <x:f t="array" ref="Y67">2.24%</x:f>
        <x:v>0.022400000000000003</x:v>
      </x:c>
      <x:c r="Z67" s="9" t="s">
        <x:v>158</x:v>
      </x:c>
      <x:c r="AA67" s="57" t="str">
        <x:v>Snapshot only — run GitHub workflow</x:v>
      </x:c>
      <x:c r="AB67" s="58" t="n">
        <x:f>IFERROR(H67/G67,"")</x:f>
        <x:v>1</x:v>
      </x:c>
      <x:c r="AC67" s="57" t="str"/>
      <x:c r="AD67" s="57" t="str"/>
      <x:c r="AE67" s="57" t="str"/>
      <x:c r="AF67" s="57" t="str"/>
      <x:c r="AG67" s="2"/>
      <x:c r="AH67" s="2"/>
    </x:row>
    <x:row r="68" ht="15.75" customHeight="1">
      <x:c r="A68" s="11" t="s">
        <x:v>170</x:v>
      </x:c>
      <x:c r="B68" s="2" t="s">
        <x:v>171</x:v>
      </x:c>
      <x:c r="C68" s="3" t="e">
        <x:f>HYPERLINK("https://scan.mypinata.cloud/ipfs/bafybeih3olry3is4e4lzm7rus5l3h6zrphcal5a7ayfkhzm5oivjro2cp4/#/address/0x8A03b032c5494219B212e5a74A49e2aa7F9d206F", "0x8A03b032c5494219B212e5a74A49e2aa7F9d206F")</x:f>
      </x:c>
      <x:c r="D68" s="4" t="str">
        <x:f t="shared" si="1"/>
        <x:v>Atropa Dev</x:v>
      </x:c>
      <x:c r="E68" s="4" t="e">
        <x:f>HYPERLINK("https://scan.mypinata.cloud/ipfs/bafybeih3olry3is4e4lzm7rus5l3h6zrphcal5a7ayfkhzm5oivjro2cp4/#/block/18381824", "18381824")</x:f>
      </x:c>
      <x:c r="F68" s="4" t="e">
        <x:f>HYPERLINK("https://scan.mypinata.cloud/ipfs/bafybeih3olry3is4e4lzm7rus5l3h6zrphcal5a7ayfkhzm5oivjro2cp4/#/tx/0x05078f045e101ec5ca6cc7534ca87c3b5ff5baa5ac868ae2eabf86a070e76be7", "2023-09-22 18:06:55")</x:f>
      </x:c>
      <x:c r="G68" s="5">
        <x:v>4.0</x:v>
      </x:c>
      <x:c r="H68" s="5">
        <x:v>4.0</x:v>
      </x:c>
      <x:c r="I68" s="5">
        <x:v>3.9938037385871654</x:v>
      </x:c>
      <x:c r="J68" s="5">
        <x:v>0.0</x:v>
      </x:c>
      <x:c r="K68" s="5">
        <x:v>0.0061962614128344</x:v>
      </x:c>
      <x:c r="L68" s="2" t="s">
        <x:v>28</x:v>
      </x:c>
      <x:c r="M68" s="4" t="e">
        <x:f>HYPERLINK("https://scan.mypinata.cloud/ipfs/bafybeih3olry3is4e4lzm7rus5l3h6zrphcal5a7ayfkhzm5oivjro2cp4/#/tx/0x7e9d02a2352a2aefeca2282bbf71fe985411ac98159139669d88c87de0880bf0", "2024-09-11 10:03:45")</x:f>
      </x:c>
      <x:c r="N68" s="2" t="e">
        <x:f>IFERROR(__xludf.DUMMYFUNCTION("IF(ISDATE(TO_DATE(L68)), MAX(0, ROUND(TODAY() - TO_DATE(L68)), 0), ""-"")"),"-")</x:f>
      </x:c>
      <x:c r="O68" s="2" t="e">
        <x:f>IFERROR(__xludf.DUMMYFUNCTION("IF(ISDATE(TO_DATE(M68)), MAX(0, ROUND(TODAY() - TO_DATE(M68)), 0), ""-"")"),660.0)</x:f>
      </x:c>
      <x:c r="P68" s="6">
        <x:v>39642.53</x:v>
      </x:c>
      <x:c r="Q68" s="6">
        <x:v>9.958925069841E8</x:v>
      </x:c>
      <x:c r="R68" s="7">
        <x:v>158570.12</x:v>
      </x:c>
      <x:c r="S68" s="7">
        <x:v>158325.0</x:v>
      </x:c>
      <x:c r="T68" s="7">
        <x:v>258.81</x:v>
      </x:c>
      <x:c r="U68" s="7">
        <x:v>11658.75</x:v>
      </x:c>
      <x:c r="V68" s="2" t="s">
        <x:v>28</x:v>
      </x:c>
      <x:c r="W68" s="2" t="s">
        <x:v>28</x:v>
      </x:c>
      <x:c r="X68" s="2" t="s">
        <x:v>28</x:v>
      </x:c>
      <x:c r="Y68" s="2" t="s">
        <x:v>28</x:v>
      </x:c>
      <x:c r="Z68" s="9" t="s">
        <x:v>172</x:v>
      </x:c>
      <x:c r="AA68" s="57" t="str">
        <x:v>Snapshot only — run GitHub workflow</x:v>
      </x:c>
      <x:c r="AB68" s="58" t="n">
        <x:f>IFERROR(H68/G68,"")</x:f>
        <x:v>1</x:v>
      </x:c>
      <x:c r="AC68" s="57" t="str"/>
      <x:c r="AD68" s="57" t="str"/>
      <x:c r="AE68" s="57" t="str"/>
      <x:c r="AF68" s="57" t="str"/>
      <x:c r="AG68" s="2"/>
      <x:c r="AH68" s="2"/>
    </x:row>
    <x:row r="69" ht="15.75" customHeight="1">
      <x:c r="A69" s="2" t="s">
        <x:v>173</x:v>
      </x:c>
      <x:c r="B69" s="2" t="s">
        <x:v>174</x:v>
      </x:c>
      <x:c r="C69" s="3" t="e">
        <x:f>HYPERLINK("https://scan.mypinata.cloud/ipfs/bafybeih3olry3is4e4lzm7rus5l3h6zrphcal5a7ayfkhzm5oivjro2cp4/#/address/0x9A3796Cf41B7CbA6921fd50c3f5204ED6506C3e7", "0x9A3796Cf41B7CbA6921fd50c3f5204ED6506C3e7")</x:f>
      </x:c>
      <x:c r="D69" s="4" t="str">
        <x:f t="shared" si="1"/>
        <x:v>Atropa Dev</x:v>
      </x:c>
      <x:c r="E69" s="4" t="e">
        <x:f>HYPERLINK("https://scan.mypinata.cloud/ipfs/bafybeih3olry3is4e4lzm7rus5l3h6zrphcal5a7ayfkhzm5oivjro2cp4/#/block/18382063", "18382063")</x:f>
      </x:c>
      <x:c r="F69" s="4" t="e">
        <x:f>HYPERLINK("https://scan.mypinata.cloud/ipfs/bafybeih3olry3is4e4lzm7rus5l3h6zrphcal5a7ayfkhzm5oivjro2cp4/#/tx/0xacc809cdd9163416c6a64ba3b297d3acce5406d7a26aafe12f4bfd37e2971020", "2023-09-22 18:46:45")</x:f>
      </x:c>
      <x:c r="G69" s="5">
        <x:v>999.0</x:v>
      </x:c>
      <x:c r="H69" s="5">
        <x:v>999.0</x:v>
      </x:c>
      <x:c r="I69" s="5">
        <x:v>999.0</x:v>
      </x:c>
      <x:c r="J69" s="5">
        <x:v>0.0</x:v>
      </x:c>
      <x:c r="K69" s="5">
        <x:v>0.0</x:v>
      </x:c>
      <x:c r="L69" s="2" t="s">
        <x:v>28</x:v>
      </x:c>
      <x:c r="M69" s="2" t="s">
        <x:v>28</x:v>
      </x:c>
      <x:c r="N69" s="2" t="e">
        <x:f>IFERROR(__xludf.DUMMYFUNCTION("IF(ISDATE(TO_DATE(L69)), MAX(0, ROUND(TODAY() - TO_DATE(L69)), 0), ""-"")"),"-")</x:f>
      </x:c>
      <x:c r="O69" s="2" t="e">
        <x:f>IFERROR(__xludf.DUMMYFUNCTION("IF(ISDATE(TO_DATE(M69)), MAX(0, ROUND(TODAY() - TO_DATE(M69)), 0), ""-"")"),"-")</x:f>
      </x:c>
      <x:c r="P69" s="6">
        <x:v>108.18</x:v>
      </x:c>
      <x:c r="Q69" s="6">
        <x:v>2687708.2652</x:v>
      </x:c>
      <x:c r="R69" s="7">
        <x:v>108071.82</x:v>
      </x:c>
      <x:c r="S69" s="7">
        <x:v>108074.0</x:v>
      </x:c>
      <x:c r="T69" s="7">
        <x:v>221.25</x:v>
      </x:c>
      <x:c r="U69" s="7">
        <x:v>12002.890000000001</x:v>
      </x:c>
      <x:c r="V69" s="2" t="s">
        <x:v>28</x:v>
      </x:c>
      <x:c r="W69" s="2" t="s">
        <x:v>28</x:v>
      </x:c>
      <x:c r="X69" s="2" t="s">
        <x:v>28</x:v>
      </x:c>
      <x:c r="Y69" s="2" t="s">
        <x:v>28</x:v>
      </x:c>
      <x:c r="Z69" s="9" t="s">
        <x:v>172</x:v>
      </x:c>
      <x:c r="AA69" s="57" t="str">
        <x:v>Snapshot only — run GitHub workflow</x:v>
      </x:c>
      <x:c r="AB69" s="58" t="n">
        <x:f>IFERROR(H69/G69,"")</x:f>
        <x:v>1</x:v>
      </x:c>
      <x:c r="AC69" s="57" t="str"/>
      <x:c r="AD69" s="57" t="str"/>
      <x:c r="AE69" s="57" t="str"/>
      <x:c r="AF69" s="57" t="str"/>
      <x:c r="AG69" s="2"/>
      <x:c r="AH69" s="2"/>
    </x:row>
    <x:row r="70" ht="15.75" customHeight="1">
      <x:c r="A70" s="2" t="s">
        <x:v>175</x:v>
      </x:c>
      <x:c r="B70" s="2" t="s">
        <x:v>176</x:v>
      </x:c>
      <x:c r="C70" s="3" t="e">
        <x:f>HYPERLINK("https://scan.mypinata.cloud/ipfs/bafybeih3olry3is4e4lzm7rus5l3h6zrphcal5a7ayfkhzm5oivjro2cp4/#/address/0x60Df6bB066a0C643789559a7DE0F8997FAb89f33", "0x60Df6bB066a0C643789559a7DE0F8997FAb89f33")</x:f>
      </x:c>
      <x:c r="D70" s="4" t="str">
        <x:f t="shared" si="1"/>
        <x:v>Atropa Dev</x:v>
      </x:c>
      <x:c r="E70" s="4" t="e">
        <x:f>HYPERLINK("https://scan.mypinata.cloud/ipfs/bafybeih3olry3is4e4lzm7rus5l3h6zrphcal5a7ayfkhzm5oivjro2cp4/#/block/18383047", "18383047")</x:f>
      </x:c>
      <x:c r="F70" s="4" t="e">
        <x:f>HYPERLINK("https://scan.mypinata.cloud/ipfs/bafybeih3olry3is4e4lzm7rus5l3h6zrphcal5a7ayfkhzm5oivjro2cp4/#/tx/0xdda536e5f8d44eda221d6e4386b0e868527b322465c9bc482a858fa44301eeda", "2023-09-22 21:31:15")</x:f>
      </x:c>
      <x:c r="G70" s="5">
        <x:v>100.0</x:v>
      </x:c>
      <x:c r="H70" s="5">
        <x:v>100.0</x:v>
      </x:c>
      <x:c r="I70" s="5">
        <x:v>100.0</x:v>
      </x:c>
      <x:c r="J70" s="5">
        <x:v>0.0</x:v>
      </x:c>
      <x:c r="K70" s="5">
        <x:v>0.0</x:v>
      </x:c>
      <x:c r="L70" s="2" t="s">
        <x:v>28</x:v>
      </x:c>
      <x:c r="M70" s="2" t="s">
        <x:v>28</x:v>
      </x:c>
      <x:c r="N70" s="2" t="e">
        <x:f>IFERROR(__xludf.DUMMYFUNCTION("IF(ISDATE(TO_DATE(L70)), MAX(0, ROUND(TODAY() - TO_DATE(L70)), 0), ""-"")"),"-")</x:f>
      </x:c>
      <x:c r="O70" s="2" t="e">
        <x:f>IFERROR(__xludf.DUMMYFUNCTION("IF(ISDATE(TO_DATE(M70)), MAX(0, ROUND(TODAY() - TO_DATE(M70)), 0), ""-"")"),"-")</x:f>
      </x:c>
      <x:c r="P70" s="6">
        <x:v>167.66</x:v>
      </x:c>
      <x:c r="Q70" s="6">
        <x:v>4241076.3021</x:v>
      </x:c>
      <x:c r="R70" s="7">
        <x:v>16766.0</x:v>
      </x:c>
      <x:c r="S70" s="7">
        <x:v>16767.0</x:v>
      </x:c>
      <x:c r="T70" s="7">
        <x:v>16.98</x:v>
      </x:c>
      <x:c r="U70" s="7">
        <x:v>428.09000000000003</x:v>
      </x:c>
      <x:c r="V70" s="2" t="s">
        <x:v>28</x:v>
      </x:c>
      <x:c r="W70" s="2" t="s">
        <x:v>28</x:v>
      </x:c>
      <x:c r="X70" s="2" t="s">
        <x:v>28</x:v>
      </x:c>
      <x:c r="Y70" s="2" t="s">
        <x:v>28</x:v>
      </x:c>
      <x:c r="Z70" s="9" t="s">
        <x:v>172</x:v>
      </x:c>
      <x:c r="AA70" s="57" t="str">
        <x:v>Snapshot only — run GitHub workflow</x:v>
      </x:c>
      <x:c r="AB70" s="58" t="n">
        <x:f>IFERROR(H70/G70,"")</x:f>
        <x:v>1</x:v>
      </x:c>
      <x:c r="AC70" s="57" t="str"/>
      <x:c r="AD70" s="57" t="str"/>
      <x:c r="AE70" s="57" t="str"/>
      <x:c r="AF70" s="57" t="str"/>
      <x:c r="AG70" s="2"/>
      <x:c r="AH70" s="2"/>
    </x:row>
    <x:row r="71" ht="15.75" customHeight="1">
      <x:c r="A71" s="2" t="s">
        <x:v>177</x:v>
      </x:c>
      <x:c r="B71" s="2" t="s">
        <x:v>178</x:v>
      </x:c>
      <x:c r="C71" s="3" t="e">
        <x:f>HYPERLINK("https://scan.mypinata.cloud/ipfs/bafybeih3olry3is4e4lzm7rus5l3h6zrphcal5a7ayfkhzm5oivjro2cp4/#/address/0x52c32a667669a59f051ED174aAA9560F52d916E9", "0x52c32a667669a59f051ED174aAA9560F52d916E9")</x:f>
      </x:c>
      <x:c r="D71" s="4" t="str">
        <x:f t="shared" si="1"/>
        <x:v>Atropa Dev</x:v>
      </x:c>
      <x:c r="E71" s="4" t="e">
        <x:f>HYPERLINK("https://scan.mypinata.cloud/ipfs/bafybeih3olry3is4e4lzm7rus5l3h6zrphcal5a7ayfkhzm5oivjro2cp4/#/block/18383915", "18383915")</x:f>
      </x:c>
      <x:c r="F71" s="4" t="e">
        <x:f>HYPERLINK("https://scan.mypinata.cloud/ipfs/bafybeih3olry3is4e4lzm7rus5l3h6zrphcal5a7ayfkhzm5oivjro2cp4/#/tx/0xe28ef9faed10a105647481e3df34f23fc49b7f31d6eaa2d08fef9abc0cc03fcf", "2023-09-22 23:56:35")</x:f>
      </x:c>
      <x:c r="G71" s="5">
        <x:v>100.0</x:v>
      </x:c>
      <x:c r="H71" s="5">
        <x:v>100.0</x:v>
      </x:c>
      <x:c r="I71" s="5">
        <x:v>100.0</x:v>
      </x:c>
      <x:c r="J71" s="5">
        <x:v>0.0</x:v>
      </x:c>
      <x:c r="K71" s="5">
        <x:v>0.0</x:v>
      </x:c>
      <x:c r="L71" s="2" t="s">
        <x:v>28</x:v>
      </x:c>
      <x:c r="M71" s="2" t="s">
        <x:v>28</x:v>
      </x:c>
      <x:c r="N71" s="2" t="e">
        <x:f>IFERROR(__xludf.DUMMYFUNCTION("IF(ISDATE(TO_DATE(L71)), MAX(0, ROUND(TODAY() - TO_DATE(L71)), 0), ""-"")"),"-")</x:f>
      </x:c>
      <x:c r="O71" s="2" t="e">
        <x:f>IFERROR(__xludf.DUMMYFUNCTION("IF(ISDATE(TO_DATE(M71)), MAX(0, ROUND(TODAY() - TO_DATE(M71)), 0), ""-"")"),"-")</x:f>
      </x:c>
      <x:c r="P71" s="6">
        <x:v>75.59</x:v>
      </x:c>
      <x:c r="Q71" s="6">
        <x:v>1889624.5083</x:v>
      </x:c>
      <x:c r="R71" s="7">
        <x:v>7559.0</x:v>
      </x:c>
      <x:c r="S71" s="7">
        <x:v>7559.0</x:v>
      </x:c>
      <x:c r="T71" s="7">
        <x:v>4.48</x:v>
      </x:c>
      <x:c r="U71" s="7">
        <x:v>68.54</x:v>
      </x:c>
      <x:c r="V71" s="2" t="s">
        <x:v>28</x:v>
      </x:c>
      <x:c r="W71" s="2" t="s">
        <x:v>28</x:v>
      </x:c>
      <x:c r="X71" s="2" t="s">
        <x:v>28</x:v>
      </x:c>
      <x:c r="Y71" s="2" t="s">
        <x:v>28</x:v>
      </x:c>
      <x:c r="Z71" s="9" t="s">
        <x:v>179</x:v>
      </x:c>
      <x:c r="AA71" s="57" t="str">
        <x:v>Snapshot only — run GitHub workflow</x:v>
      </x:c>
      <x:c r="AB71" s="58" t="n">
        <x:f>IFERROR(H71/G71,"")</x:f>
        <x:v>1</x:v>
      </x:c>
      <x:c r="AC71" s="57" t="str"/>
      <x:c r="AD71" s="57" t="str"/>
      <x:c r="AE71" s="57" t="str"/>
      <x:c r="AF71" s="57" t="str"/>
      <x:c r="AG71" s="2"/>
      <x:c r="AH71" s="2"/>
    </x:row>
    <x:row r="72" ht="15.75" customHeight="1">
      <x:c r="A72" s="2" t="s">
        <x:v>180</x:v>
      </x:c>
      <x:c r="B72" s="2" t="s">
        <x:v>181</x:v>
      </x:c>
      <x:c r="C72" s="3" t="e">
        <x:f>HYPERLINK("https://scan.mypinata.cloud/ipfs/bafybeih3olry3is4e4lzm7rus5l3h6zrphcal5a7ayfkhzm5oivjro2cp4/#/address/0xb6936B8e82626405f6E601D54a8292881D86b47D", "0xb6936B8e82626405f6E601D54a8292881D86b47D")</x:f>
      </x:c>
      <x:c r="D72" s="4" t="str">
        <x:f t="shared" si="1"/>
        <x:v>Atropa Dev</x:v>
      </x:c>
      <x:c r="E72" s="4" t="e">
        <x:f>HYPERLINK("https://scan.mypinata.cloud/ipfs/bafybeih3olry3is4e4lzm7rus5l3h6zrphcal5a7ayfkhzm5oivjro2cp4/#/block/18387618", "18387618")</x:f>
      </x:c>
      <x:c r="F72" s="4" t="e">
        <x:f>HYPERLINK("https://scan.mypinata.cloud/ipfs/bafybeih3olry3is4e4lzm7rus5l3h6zrphcal5a7ayfkhzm5oivjro2cp4/#/tx/0x45dd36acba13361ca7ab6244fec0d3fc7a7b526207eb8e4b41324f345d66c547", "2023-09-23 10:15:55")</x:f>
      </x:c>
      <x:c r="G72" s="5">
        <x:v>101.0</x:v>
      </x:c>
      <x:c r="H72" s="5">
        <x:v>101.0</x:v>
      </x:c>
      <x:c r="I72" s="5">
        <x:v>100.93689525437316</x:v>
      </x:c>
      <x:c r="J72" s="5">
        <x:v>0.0</x:v>
      </x:c>
      <x:c r="K72" s="5">
        <x:v>0.063104745626848</x:v>
      </x:c>
      <x:c r="L72" s="2" t="s">
        <x:v>28</x:v>
      </x:c>
      <x:c r="M72" s="4" t="e">
        <x:f>HYPERLINK("https://scan.mypinata.cloud/ipfs/bafybeih3olry3is4e4lzm7rus5l3h6zrphcal5a7ayfkhzm5oivjro2cp4/#/tx/0x1bd59c27bae556feb8e95cb3ba3808484adfc51f5b94dc4052d91f1dcec5aef9", "2025-02-27 13:08:55")</x:f>
      </x:c>
      <x:c r="N72" s="2" t="e">
        <x:f>IFERROR(__xludf.DUMMYFUNCTION("IF(ISDATE(TO_DATE(L72)), MAX(0, ROUND(TODAY() - TO_DATE(L72)), 0), ""-"")"),"-")</x:f>
      </x:c>
      <x:c r="O72" s="2" t="e">
        <x:f>IFERROR(__xludf.DUMMYFUNCTION("IF(ISDATE(TO_DATE(M72)), MAX(0, ROUND(TODAY() - TO_DATE(M72)), 0), ""-"")"),490.0)</x:f>
      </x:c>
      <x:c r="P72" s="6">
        <x:v>1519.64</x:v>
      </x:c>
      <x:c r="Q72" s="6">
        <x:v>3.79448714443E7</x:v>
      </x:c>
      <x:c r="R72" s="7">
        <x:v>153483.64</x:v>
      </x:c>
      <x:c r="S72" s="7">
        <x:v>153388.0</x:v>
      </x:c>
      <x:c r="T72" s="7">
        <x:v>316.51</x:v>
      </x:c>
      <x:c r="U72" s="7">
        <x:v>59978.75</x:v>
      </x:c>
      <x:c r="V72" s="2" t="s">
        <x:v>28</x:v>
      </x:c>
      <x:c r="W72" s="2" t="s">
        <x:v>28</x:v>
      </x:c>
      <x:c r="X72" s="2" t="s">
        <x:v>28</x:v>
      </x:c>
      <x:c r="Y72" s="2" t="s">
        <x:v>28</x:v>
      </x:c>
      <x:c r="Z72" s="9" t="s">
        <x:v>182</x:v>
      </x:c>
      <x:c r="AA72" s="57" t="str">
        <x:v>Snapshot only — run GitHub workflow</x:v>
      </x:c>
      <x:c r="AB72" s="58" t="n">
        <x:f>IFERROR(H72/G72,"")</x:f>
        <x:v>1</x:v>
      </x:c>
      <x:c r="AC72" s="57" t="str"/>
      <x:c r="AD72" s="57" t="str"/>
      <x:c r="AE72" s="57" t="str"/>
      <x:c r="AF72" s="57" t="str"/>
      <x:c r="AG72" s="2"/>
      <x:c r="AH72" s="2"/>
    </x:row>
    <x:row r="73" ht="15.75" customHeight="1">
      <x:c r="A73" s="2" t="s">
        <x:v>183</x:v>
      </x:c>
      <x:c r="B73" s="2" t="s">
        <x:v>184</x:v>
      </x:c>
      <x:c r="C73" s="3" t="e">
        <x:f>HYPERLINK("https://scan.mypinata.cloud/ipfs/bafybeih3olry3is4e4lzm7rus5l3h6zrphcal5a7ayfkhzm5oivjro2cp4/#/address/0x08Fe5c72173044314A74705089d014a4416Ed71D", "0x08Fe5c72173044314A74705089d014a4416Ed71D")</x:f>
      </x:c>
      <x:c r="D73" s="4" t="str">
        <x:f t="shared" si="1"/>
        <x:v>Atropa Dev</x:v>
      </x:c>
      <x:c r="E73" s="4" t="e">
        <x:f>HYPERLINK("https://scan.mypinata.cloud/ipfs/bafybeih3olry3is4e4lzm7rus5l3h6zrphcal5a7ayfkhzm5oivjro2cp4/#/block/18390641", "18390641")</x:f>
      </x:c>
      <x:c r="F73" s="4" t="e">
        <x:f>HYPERLINK("https://scan.mypinata.cloud/ipfs/bafybeih3olry3is4e4lzm7rus5l3h6zrphcal5a7ayfkhzm5oivjro2cp4/#/tx/0xe2def54b97cf276ebbd8dc283011313c6ac0308e32798162801abf7cb12dc3d1", "2023-09-23 18:43:15")</x:f>
      </x:c>
      <x:c r="G73" s="5">
        <x:v>400.0</x:v>
      </x:c>
      <x:c r="H73" s="5">
        <x:v>400.0</x:v>
      </x:c>
      <x:c r="I73" s="5">
        <x:v>400.0</x:v>
      </x:c>
      <x:c r="J73" s="5">
        <x:v>0.0</x:v>
      </x:c>
      <x:c r="K73" s="5">
        <x:v>0.0</x:v>
      </x:c>
      <x:c r="L73" s="2" t="s">
        <x:v>28</x:v>
      </x:c>
      <x:c r="M73" s="2" t="s">
        <x:v>28</x:v>
      </x:c>
      <x:c r="N73" s="2" t="e">
        <x:f>IFERROR(__xludf.DUMMYFUNCTION("IF(ISDATE(TO_DATE(L73)), MAX(0, ROUND(TODAY() - TO_DATE(L73)), 0), ""-"")"),"-")</x:f>
      </x:c>
      <x:c r="O73" s="2" t="e">
        <x:f>IFERROR(__xludf.DUMMYFUNCTION("IF(ISDATE(TO_DATE(M73)), MAX(0, ROUND(TODAY() - TO_DATE(M73)), 0), ""-"")"),"-")</x:f>
      </x:c>
      <x:c r="P73" s="6">
        <x:v>646.5</x:v>
      </x:c>
      <x:c r="Q73" s="6">
        <x:v>1.62391051782E7</x:v>
      </x:c>
      <x:c r="R73" s="7">
        <x:v>258600.0</x:v>
      </x:c>
      <x:c r="S73" s="7">
        <x:v>258603.0</x:v>
      </x:c>
      <x:c r="T73" s="7">
        <x:v>400.01</x:v>
      </x:c>
      <x:c r="U73" s="7">
        <x:v>15364.25</x:v>
      </x:c>
      <x:c r="V73" s="2" t="s">
        <x:v>28</x:v>
      </x:c>
      <x:c r="W73" s="2" t="s">
        <x:v>28</x:v>
      </x:c>
      <x:c r="X73" s="2" t="s">
        <x:v>28</x:v>
      </x:c>
      <x:c r="Y73" s="2" t="s">
        <x:v>28</x:v>
      </x:c>
      <x:c r="Z73" s="9" t="s">
        <x:v>172</x:v>
      </x:c>
      <x:c r="AA73" s="57" t="str">
        <x:v>Snapshot only — run GitHub workflow</x:v>
      </x:c>
      <x:c r="AB73" s="58" t="n">
        <x:f>IFERROR(H73/G73,"")</x:f>
        <x:v>1</x:v>
      </x:c>
      <x:c r="AC73" s="57" t="str"/>
      <x:c r="AD73" s="57" t="str"/>
      <x:c r="AE73" s="57" t="str"/>
      <x:c r="AF73" s="57" t="str"/>
      <x:c r="AG73" s="2"/>
      <x:c r="AH73" s="2"/>
    </x:row>
    <x:row r="74" ht="15.75" customHeight="1">
      <x:c r="A74" s="2" t="s">
        <x:v>185</x:v>
      </x:c>
      <x:c r="B74" s="2" t="s">
        <x:v>186</x:v>
      </x:c>
      <x:c r="C74" s="3" t="e">
        <x:f>HYPERLINK("https://scan.mypinata.cloud/ipfs/bafybeih3olry3is4e4lzm7rus5l3h6zrphcal5a7ayfkhzm5oivjro2cp4/#/address/0xF77c946C18A77B5DdA5e839dA9818C4D1f087393", "0xF77c946C18A77B5DdA5e839dA9818C4D1f087393")</x:f>
      </x:c>
      <x:c r="D74" s="4" t="str">
        <x:f t="shared" si="1"/>
        <x:v>Atropa Dev</x:v>
      </x:c>
      <x:c r="E74" s="4" t="e">
        <x:f>HYPERLINK("https://scan.mypinata.cloud/ipfs/bafybeih3olry3is4e4lzm7rus5l3h6zrphcal5a7ayfkhzm5oivjro2cp4/#/block/18390682", "18390682")</x:f>
      </x:c>
      <x:c r="F74" s="4" t="e">
        <x:f>HYPERLINK("https://scan.mypinata.cloud/ipfs/bafybeih3olry3is4e4lzm7rus5l3h6zrphcal5a7ayfkhzm5oivjro2cp4/#/tx/0x04e0dca44f783760a3aea2940664837fe4d8cf4f77e47e760cd34d2924e8e2f3", "2023-09-23 18:50:15")</x:f>
      </x:c>
      <x:c r="G74" s="5">
        <x:v>105.0</x:v>
      </x:c>
      <x:c r="H74" s="5">
        <x:v>105.0</x:v>
      </x:c>
      <x:c r="I74" s="5">
        <x:v>105.0</x:v>
      </x:c>
      <x:c r="J74" s="5">
        <x:v>0.0</x:v>
      </x:c>
      <x:c r="K74" s="5">
        <x:v>0.0</x:v>
      </x:c>
      <x:c r="L74" s="2" t="s">
        <x:v>28</x:v>
      </x:c>
      <x:c r="M74" s="2" t="s">
        <x:v>28</x:v>
      </x:c>
      <x:c r="N74" s="2" t="e">
        <x:f>IFERROR(__xludf.DUMMYFUNCTION("IF(ISDATE(TO_DATE(L74)), MAX(0, ROUND(TODAY() - TO_DATE(L74)), 0), ""-"")"),"-")</x:f>
      </x:c>
      <x:c r="O74" s="2" t="e">
        <x:f>IFERROR(__xludf.DUMMYFUNCTION("IF(ISDATE(TO_DATE(M74)), MAX(0, ROUND(TODAY() - TO_DATE(M74)), 0), ""-"")"),"-")</x:f>
      </x:c>
      <x:c r="P74" s="6">
        <x:v>1037.73</x:v>
      </x:c>
      <x:c r="Q74" s="6">
        <x:v>2.58442197462E7</x:v>
      </x:c>
      <x:c r="R74" s="7">
        <x:v>108961.65</x:v>
      </x:c>
      <x:c r="S74" s="7">
        <x:v>108962.0</x:v>
      </x:c>
      <x:c r="T74" s="7">
        <x:v>78.86999999999999</x:v>
      </x:c>
      <x:c r="U74" s="7">
        <x:v>12653.74</x:v>
      </x:c>
      <x:c r="V74" s="2" t="s">
        <x:v>28</x:v>
      </x:c>
      <x:c r="W74" s="2" t="s">
        <x:v>28</x:v>
      </x:c>
      <x:c r="X74" s="2" t="s">
        <x:v>28</x:v>
      </x:c>
      <x:c r="Y74" s="2" t="s">
        <x:v>28</x:v>
      </x:c>
      <x:c r="Z74" s="9" t="s">
        <x:v>187</x:v>
      </x:c>
      <x:c r="AA74" s="57" t="str">
        <x:v>Snapshot only — run GitHub workflow</x:v>
      </x:c>
      <x:c r="AB74" s="58" t="n">
        <x:f>IFERROR(H74/G74,"")</x:f>
        <x:v>1</x:v>
      </x:c>
      <x:c r="AC74" s="57" t="str"/>
      <x:c r="AD74" s="57" t="str"/>
      <x:c r="AE74" s="57" t="str"/>
      <x:c r="AF74" s="57" t="str"/>
      <x:c r="AG74" s="2"/>
      <x:c r="AH74" s="2"/>
    </x:row>
    <x:row r="75" ht="15.75" customHeight="1">
      <x:c r="A75" s="2" t="s">
        <x:v>188</x:v>
      </x:c>
      <x:c r="B75" s="2" t="s">
        <x:v>189</x:v>
      </x:c>
      <x:c r="C75" s="3" t="e">
        <x:f>HYPERLINK("https://scan.mypinata.cloud/ipfs/bafybeih3olry3is4e4lzm7rus5l3h6zrphcal5a7ayfkhzm5oivjro2cp4/#/address/0xd18a27A8Df4df35DF570743AA47b08cCF8Ab256B", "0xd18a27A8Df4df35DF570743AA47b08cCF8Ab256B")</x:f>
      </x:c>
      <x:c r="D75" s="4" t="str">
        <x:f t="shared" si="1"/>
        <x:v>Atropa Dev</x:v>
      </x:c>
      <x:c r="E75" s="4" t="e">
        <x:f>HYPERLINK("https://scan.mypinata.cloud/ipfs/bafybeih3olry3is4e4lzm7rus5l3h6zrphcal5a7ayfkhzm5oivjro2cp4/#/block/18390912", "18390912")</x:f>
      </x:c>
      <x:c r="F75" s="4" t="e">
        <x:f>HYPERLINK("https://scan.mypinata.cloud/ipfs/bafybeih3olry3is4e4lzm7rus5l3h6zrphcal5a7ayfkhzm5oivjro2cp4/#/tx/0xc6ec6cfde7d36b63c4831104f72058fa8fca53dd1b98947b70272b122df2246b", "2023-09-23 19:28:35")</x:f>
      </x:c>
      <x:c r="G75" s="5">
        <x:v>105.0</x:v>
      </x:c>
      <x:c r="H75" s="5">
        <x:v>105.0</x:v>
      </x:c>
      <x:c r="I75" s="5">
        <x:v>105.0</x:v>
      </x:c>
      <x:c r="J75" s="5">
        <x:v>0.0</x:v>
      </x:c>
      <x:c r="K75" s="5">
        <x:v>0.0</x:v>
      </x:c>
      <x:c r="L75" s="2" t="s">
        <x:v>28</x:v>
      </x:c>
      <x:c r="M75" s="2" t="s">
        <x:v>28</x:v>
      </x:c>
      <x:c r="N75" s="2" t="e">
        <x:f>IFERROR(__xludf.DUMMYFUNCTION("IF(ISDATE(TO_DATE(L75)), MAX(0, ROUND(TODAY() - TO_DATE(L75)), 0), ""-"")"),"-")</x:f>
      </x:c>
      <x:c r="O75" s="2" t="e">
        <x:f>IFERROR(__xludf.DUMMYFUNCTION("IF(ISDATE(TO_DATE(M75)), MAX(0, ROUND(TODAY() - TO_DATE(M75)), 0), ""-"")"),"-")</x:f>
      </x:c>
      <x:c r="P75" s="6">
        <x:v>1171.52</x:v>
      </x:c>
      <x:c r="Q75" s="6">
        <x:v>2.9096597107E7</x:v>
      </x:c>
      <x:c r="R75" s="7">
        <x:v>123009.6</x:v>
      </x:c>
      <x:c r="S75" s="7">
        <x:v>123011.0</x:v>
      </x:c>
      <x:c r="T75" s="7">
        <x:v>214.45</x:v>
      </x:c>
      <x:c r="U75" s="7">
        <x:v>5743.86</x:v>
      </x:c>
      <x:c r="V75" s="2" t="s">
        <x:v>28</x:v>
      </x:c>
      <x:c r="W75" s="2" t="s">
        <x:v>28</x:v>
      </x:c>
      <x:c r="X75" s="2" t="s">
        <x:v>28</x:v>
      </x:c>
      <x:c r="Y75" s="2" t="s">
        <x:v>28</x:v>
      </x:c>
      <x:c r="Z75" s="9" t="s">
        <x:v>190</x:v>
      </x:c>
      <x:c r="AA75" s="57" t="str">
        <x:v>Snapshot only — run GitHub workflow</x:v>
      </x:c>
      <x:c r="AB75" s="58" t="n">
        <x:f>IFERROR(H75/G75,"")</x:f>
        <x:v>1</x:v>
      </x:c>
      <x:c r="AC75" s="57" t="str"/>
      <x:c r="AD75" s="57" t="str"/>
      <x:c r="AE75" s="57" t="str"/>
      <x:c r="AF75" s="57" t="str"/>
      <x:c r="AG75" s="2"/>
      <x:c r="AH75" s="2"/>
    </x:row>
    <x:row r="76" ht="15.75" customHeight="1">
      <x:c r="A76" s="2" t="s">
        <x:v>191</x:v>
      </x:c>
      <x:c r="B76" s="2" t="s">
        <x:v>192</x:v>
      </x:c>
      <x:c r="C76" s="3" t="e">
        <x:f>HYPERLINK("https://scan.mypinata.cloud/ipfs/bafybeih3olry3is4e4lzm7rus5l3h6zrphcal5a7ayfkhzm5oivjro2cp4/#/address/0x8f326f4530D02c6C5BBF8Acd46DDBB0391871e85", "0x8f326f4530D02c6C5BBF8Acd46DDBB0391871e85")</x:f>
      </x:c>
      <x:c r="D76" s="4" t="str">
        <x:f t="shared" si="1"/>
        <x:v>Atropa Dev</x:v>
      </x:c>
      <x:c r="E76" s="4" t="e">
        <x:f>HYPERLINK("https://scan.mypinata.cloud/ipfs/bafybeih3olry3is4e4lzm7rus5l3h6zrphcal5a7ayfkhzm5oivjro2cp4/#/block/18391395", "18391395")</x:f>
      </x:c>
      <x:c r="F76" s="4" t="e">
        <x:f>HYPERLINK("https://scan.mypinata.cloud/ipfs/bafybeih3olry3is4e4lzm7rus5l3h6zrphcal5a7ayfkhzm5oivjro2cp4/#/tx/0xd1c2c4dd04775bc3f146dd70553fcb39dd353207817bd2cf22d5d12b93b3a521", "2023-09-23 20:49:05")</x:f>
      </x:c>
      <x:c r="G76" s="5">
        <x:v>666.0</x:v>
      </x:c>
      <x:c r="H76" s="5">
        <x:v>666.0</x:v>
      </x:c>
      <x:c r="I76" s="5">
        <x:v>666.0</x:v>
      </x:c>
      <x:c r="J76" s="5">
        <x:v>0.0</x:v>
      </x:c>
      <x:c r="K76" s="5">
        <x:v>0.0</x:v>
      </x:c>
      <x:c r="L76" s="2" t="s">
        <x:v>28</x:v>
      </x:c>
      <x:c r="M76" s="2" t="s">
        <x:v>28</x:v>
      </x:c>
      <x:c r="N76" s="2" t="e">
        <x:f>IFERROR(__xludf.DUMMYFUNCTION("IF(ISDATE(TO_DATE(L76)), MAX(0, ROUND(TODAY() - TO_DATE(L76)), 0), ""-"")"),"-")</x:f>
      </x:c>
      <x:c r="O76" s="2" t="e">
        <x:f>IFERROR(__xludf.DUMMYFUNCTION("IF(ISDATE(TO_DATE(M76)), MAX(0, ROUND(TODAY() - TO_DATE(M76)), 0), ""-"")"),"-")</x:f>
      </x:c>
      <x:c r="P76" s="2" t="s">
        <x:v>28</x:v>
      </x:c>
      <x:c r="Q76" s="2" t="s">
        <x:v>28</x:v>
      </x:c>
      <x:c r="R76" s="2" t="s">
        <x:v>28</x:v>
      </x:c>
      <x:c r="S76" s="2" t="s">
        <x:v>28</x:v>
      </x:c>
      <x:c r="T76" s="7">
        <x:v>4.36</x:v>
      </x:c>
      <x:c r="U76" s="7">
        <x:v>854.75</x:v>
      </x:c>
      <x:c r="V76" s="2" t="s">
        <x:v>28</x:v>
      </x:c>
      <x:c r="W76" s="2" t="s">
        <x:v>28</x:v>
      </x:c>
      <x:c r="X76" s="2" t="s">
        <x:v>28</x:v>
      </x:c>
      <x:c r="Y76" s="2" t="s">
        <x:v>28</x:v>
      </x:c>
      <x:c r="Z76" s="9" t="s">
        <x:v>193</x:v>
      </x:c>
      <x:c r="AA76" s="57" t="str">
        <x:v>Snapshot only — run GitHub workflow</x:v>
      </x:c>
      <x:c r="AB76" s="58" t="n">
        <x:f>IFERROR(H76/G76,"")</x:f>
        <x:v>1</x:v>
      </x:c>
      <x:c r="AC76" s="57" t="str"/>
      <x:c r="AD76" s="57" t="str"/>
      <x:c r="AE76" s="57" t="str"/>
      <x:c r="AF76" s="57" t="str"/>
      <x:c r="AG76" s="2"/>
      <x:c r="AH76" s="2"/>
    </x:row>
    <x:row r="77" ht="15.75" customHeight="1">
      <x:c r="A77" s="2" t="s">
        <x:v>194</x:v>
      </x:c>
      <x:c r="B77" s="2" t="s">
        <x:v>195</x:v>
      </x:c>
      <x:c r="C77" s="3" t="e">
        <x:f>HYPERLINK("https://scan.mypinata.cloud/ipfs/bafybeih3olry3is4e4lzm7rus5l3h6zrphcal5a7ayfkhzm5oivjro2cp4/#/address/0x0C662a3Df5d6FbF1902ab5fa2Fe40A0ce377620f", "0x0C662a3Df5d6FbF1902ab5fa2Fe40A0ce377620f")</x:f>
      </x:c>
      <x:c r="D77" s="4" t="str">
        <x:f t="shared" si="1"/>
        <x:v>Atropa Dev</x:v>
      </x:c>
      <x:c r="E77" s="4" t="e">
        <x:f>HYPERLINK("https://scan.mypinata.cloud/ipfs/bafybeih3olry3is4e4lzm7rus5l3h6zrphcal5a7ayfkhzm5oivjro2cp4/#/block/18391526", "18391526")</x:f>
      </x:c>
      <x:c r="F77" s="4" t="e">
        <x:f>HYPERLINK("https://scan.mypinata.cloud/ipfs/bafybeih3olry3is4e4lzm7rus5l3h6zrphcal5a7ayfkhzm5oivjro2cp4/#/tx/0xb0b6961b5280993734fd93e72a32c0e4daf574805ba80090ac111b03070c4d24", "2023-09-23 21:10:55")</x:f>
      </x:c>
      <x:c r="G77" s="5">
        <x:v>666.0</x:v>
      </x:c>
      <x:c r="H77" s="5">
        <x:v>666.0</x:v>
      </x:c>
      <x:c r="I77" s="5">
        <x:v>665.0</x:v>
      </x:c>
      <x:c r="J77" s="5">
        <x:v>0.0</x:v>
      </x:c>
      <x:c r="K77" s="5">
        <x:v>1.0</x:v>
      </x:c>
      <x:c r="L77" s="2" t="s">
        <x:v>28</x:v>
      </x:c>
      <x:c r="M77" s="4" t="e">
        <x:f>HYPERLINK("https://scan.mypinata.cloud/ipfs/bafybeih3olry3is4e4lzm7rus5l3h6zrphcal5a7ayfkhzm5oivjro2cp4/#/tx/0x184ee8eaaa40b8649e92e996698590bd877c459005f68f5654e00918899b019b", "2025-02-11 04:50:05")</x:f>
      </x:c>
      <x:c r="N77" s="2" t="e">
        <x:f>IFERROR(__xludf.DUMMYFUNCTION("IF(ISDATE(TO_DATE(L77)), MAX(0, ROUND(TODAY() - TO_DATE(L77)), 0), ""-"")"),"-")</x:f>
      </x:c>
      <x:c r="O77" s="2" t="e">
        <x:f>IFERROR(__xludf.DUMMYFUNCTION("IF(ISDATE(TO_DATE(M77)), MAX(0, ROUND(TODAY() - TO_DATE(M77)), 0), ""-"")"),507.0)</x:f>
      </x:c>
      <x:c r="P77" s="2" t="s">
        <x:v>28</x:v>
      </x:c>
      <x:c r="Q77" s="2" t="s">
        <x:v>28</x:v>
      </x:c>
      <x:c r="R77" s="2" t="s">
        <x:v>28</x:v>
      </x:c>
      <x:c r="S77" s="2" t="s">
        <x:v>28</x:v>
      </x:c>
      <x:c r="T77" s="2" t="s">
        <x:v>28</x:v>
      </x:c>
      <x:c r="U77" s="2" t="s">
        <x:v>28</x:v>
      </x:c>
      <x:c r="V77" s="2" t="s">
        <x:v>28</x:v>
      </x:c>
      <x:c r="W77" s="2" t="s">
        <x:v>28</x:v>
      </x:c>
      <x:c r="X77" s="2" t="s">
        <x:v>28</x:v>
      </x:c>
      <x:c r="Y77" s="2" t="s">
        <x:v>28</x:v>
      </x:c>
      <x:c r="Z77" s="9" t="s">
        <x:v>196</x:v>
      </x:c>
      <x:c r="AA77" s="57" t="str">
        <x:v>Snapshot only — run GitHub workflow</x:v>
      </x:c>
      <x:c r="AB77" s="58" t="n">
        <x:f>IFERROR(H77/G77,"")</x:f>
        <x:v>1</x:v>
      </x:c>
      <x:c r="AC77" s="57" t="str"/>
      <x:c r="AD77" s="57" t="str"/>
      <x:c r="AE77" s="57" t="str"/>
      <x:c r="AF77" s="57" t="str"/>
      <x:c r="AG77" s="2"/>
      <x:c r="AH77" s="2"/>
    </x:row>
    <x:row r="78" ht="15.75" customHeight="1">
      <x:c r="A78" s="2" t="s">
        <x:v>197</x:v>
      </x:c>
      <x:c r="B78" s="2" t="s">
        <x:v>198</x:v>
      </x:c>
      <x:c r="C78" s="3" t="e">
        <x:f>HYPERLINK("https://scan.mypinata.cloud/ipfs/bafybeih3olry3is4e4lzm7rus5l3h6zrphcal5a7ayfkhzm5oivjro2cp4/#/address/0xdE4Ef7Ea464c7771803b9838AeA07cE41089b054", "0xdE4Ef7Ea464c7771803b9838AeA07cE41089b054")</x:f>
      </x:c>
      <x:c r="D78" s="4" t="str">
        <x:f t="shared" si="1"/>
        <x:v>Atropa Dev</x:v>
      </x:c>
      <x:c r="E78" s="4" t="e">
        <x:f>HYPERLINK("https://scan.mypinata.cloud/ipfs/bafybeih3olry3is4e4lzm7rus5l3h6zrphcal5a7ayfkhzm5oivjro2cp4/#/block/18391766", "18391766")</x:f>
      </x:c>
      <x:c r="F78" s="4" t="e">
        <x:f>HYPERLINK("https://scan.mypinata.cloud/ipfs/bafybeih3olry3is4e4lzm7rus5l3h6zrphcal5a7ayfkhzm5oivjro2cp4/#/tx/0x3ff0e9381c7c82db603cf16d5f1c80ee0362d4ade3e085ad1b497890d2571177", "2023-09-23 21:50:55")</x:f>
      </x:c>
      <x:c r="G78" s="5">
        <x:v>62000.0</x:v>
      </x:c>
      <x:c r="H78" s="5">
        <x:v>62000.0</x:v>
      </x:c>
      <x:c r="I78" s="5">
        <x:v>61992.2030836614</x:v>
      </x:c>
      <x:c r="J78" s="5">
        <x:v>0.0</x:v>
      </x:c>
      <x:c r="K78" s="5">
        <x:v>7.796916338599961</x:v>
      </x:c>
      <x:c r="L78" s="2" t="s">
        <x:v>28</x:v>
      </x:c>
      <x:c r="M78" s="4" t="e">
        <x:f>HYPERLINK("https://scan.mypinata.cloud/ipfs/bafybeih3olry3is4e4lzm7rus5l3h6zrphcal5a7ayfkhzm5oivjro2cp4/#/tx/0x28d29f2161342d8c003bbe038b50feb70f4c5d2b329511531ee7b91980355dba", "2024-03-10 22:36:05")</x:f>
      </x:c>
      <x:c r="N78" s="2" t="e">
        <x:f>IFERROR(__xludf.DUMMYFUNCTION("IF(ISDATE(TO_DATE(L78)), MAX(0, ROUND(TODAY() - TO_DATE(L78)), 0), ""-"")"),"-")</x:f>
      </x:c>
      <x:c r="O78" s="2" t="e">
        <x:f>IFERROR(__xludf.DUMMYFUNCTION("IF(ISDATE(TO_DATE(M78)), MAX(0, ROUND(TODAY() - TO_DATE(M78)), 0), ""-"")"),844.0)</x:f>
      </x:c>
      <x:c r="P78" s="6">
        <x:v>1.14</x:v>
      </x:c>
      <x:c r="Q78" s="6">
        <x:v>28614.4297</x:v>
      </x:c>
      <x:c r="R78" s="7">
        <x:v>70680.0</x:v>
      </x:c>
      <x:c r="S78" s="7">
        <x:v>71062.0</x:v>
      </x:c>
      <x:c r="T78" s="7">
        <x:v>791.03</x:v>
      </x:c>
      <x:c r="U78" s="7">
        <x:v>58416.53</x:v>
      </x:c>
      <x:c r="V78" s="2" t="s">
        <x:v>28</x:v>
      </x:c>
      <x:c r="W78" s="2" t="s">
        <x:v>28</x:v>
      </x:c>
      <x:c r="X78" s="2" t="s">
        <x:v>28</x:v>
      </x:c>
      <x:c r="Y78" s="2" t="s">
        <x:v>28</x:v>
      </x:c>
      <x:c r="Z78" s="9" t="s">
        <x:v>190</x:v>
      </x:c>
      <x:c r="AA78" s="57" t="str">
        <x:v>Snapshot only — run GitHub workflow</x:v>
      </x:c>
      <x:c r="AB78" s="58" t="n">
        <x:f>IFERROR(H78/G78,"")</x:f>
        <x:v>1</x:v>
      </x:c>
      <x:c r="AC78" s="57" t="str"/>
      <x:c r="AD78" s="57" t="str"/>
      <x:c r="AE78" s="57" t="str"/>
      <x:c r="AF78" s="57" t="str"/>
      <x:c r="AG78" s="2"/>
      <x:c r="AH78" s="2"/>
    </x:row>
    <x:row r="79" ht="15.75" customHeight="1">
      <x:c r="A79" s="2" t="s">
        <x:v>199</x:v>
      </x:c>
      <x:c r="B79" s="2" t="s">
        <x:v>200</x:v>
      </x:c>
      <x:c r="C79" s="3" t="e">
        <x:f>HYPERLINK("https://scan.mypinata.cloud/ipfs/bafybeih3olry3is4e4lzm7rus5l3h6zrphcal5a7ayfkhzm5oivjro2cp4/#/address/0x0D4b0C8c4C32dEf9C742014fF17BB21b30B3A762", "0x0D4b0C8c4C32dEf9C742014fF17BB21b30B3A762")</x:f>
      </x:c>
      <x:c r="D79" s="4" t="str">
        <x:f t="shared" si="1"/>
        <x:v>Atropa Dev</x:v>
      </x:c>
      <x:c r="E79" s="4" t="e">
        <x:f>HYPERLINK("https://scan.mypinata.cloud/ipfs/bafybeih3olry3is4e4lzm7rus5l3h6zrphcal5a7ayfkhzm5oivjro2cp4/#/block/18391896", "18391896")</x:f>
      </x:c>
      <x:c r="F79" s="4" t="e">
        <x:f>HYPERLINK("https://scan.mypinata.cloud/ipfs/bafybeih3olry3is4e4lzm7rus5l3h6zrphcal5a7ayfkhzm5oivjro2cp4/#/tx/0x8e36e820addb1fa05c06529bb3f1b5f4ad6bda93858e1fbe37aac70359d01ea9", "2023-09-23 22:12:45")</x:f>
      </x:c>
      <x:c r="G79" s="5">
        <x:v>666.0</x:v>
      </x:c>
      <x:c r="H79" s="5">
        <x:v>647.0</x:v>
      </x:c>
      <x:c r="I79" s="5">
        <x:v>647.0</x:v>
      </x:c>
      <x:c r="J79" s="5">
        <x:v>0.0</x:v>
      </x:c>
      <x:c r="K79" s="5">
        <x:v>19.0</x:v>
      </x:c>
      <x:c r="L79" s="2" t="s">
        <x:v>28</x:v>
      </x:c>
      <x:c r="M79" s="4" t="e">
        <x:f>HYPERLINK("https://scan.mypinata.cloud/ipfs/bafybeih3olry3is4e4lzm7rus5l3h6zrphcal5a7ayfkhzm5oivjro2cp4/#/tx/0x1e39c60573ad984d3dc8a29a0529f1260b2ce17be1f0b3d0ce2d37b610a1b339", "2024-07-25 23:00:05")</x:f>
      </x:c>
      <x:c r="N79" s="2" t="e">
        <x:f>IFERROR(__xludf.DUMMYFUNCTION("IF(ISDATE(TO_DATE(L79)), MAX(0, ROUND(TODAY() - TO_DATE(L79)), 0), ""-"")"),"-")</x:f>
      </x:c>
      <x:c r="O79" s="2" t="e">
        <x:f>IFERROR(__xludf.DUMMYFUNCTION("IF(ISDATE(TO_DATE(M79)), MAX(0, ROUND(TODAY() - TO_DATE(M79)), 0), ""-"")"),707.0)</x:f>
      </x:c>
      <x:c r="P79" s="6">
        <x:v>6.69</x:v>
      </x:c>
      <x:c r="Q79" s="6">
        <x:v>166856.07601</x:v>
      </x:c>
      <x:c r="R79" s="7">
        <x:v>4328.43</x:v>
      </x:c>
      <x:c r="S79" s="7">
        <x:v>4335.0</x:v>
      </x:c>
      <x:c r="T79" s="7">
        <x:v>4.72</x:v>
      </x:c>
      <x:c r="U79" s="7">
        <x:v>33.02</x:v>
      </x:c>
      <x:c r="V79" s="2" t="s">
        <x:v>28</x:v>
      </x:c>
      <x:c r="W79" s="2" t="s">
        <x:v>28</x:v>
      </x:c>
      <x:c r="X79" s="2" t="s">
        <x:v>28</x:v>
      </x:c>
      <x:c r="Y79" s="2" t="s">
        <x:v>28</x:v>
      </x:c>
      <x:c r="Z79" s="9" t="s">
        <x:v>187</x:v>
      </x:c>
      <x:c r="AA79" s="57" t="str">
        <x:v>Snapshot only — run GitHub workflow</x:v>
      </x:c>
      <x:c r="AB79" s="58" t="n">
        <x:f>IFERROR(H79/G79,"")</x:f>
        <x:v>0.9714714714714715</x:v>
      </x:c>
      <x:c r="AC79" s="57" t="str"/>
      <x:c r="AD79" s="57" t="str"/>
      <x:c r="AE79" s="57" t="str"/>
      <x:c r="AF79" s="57" t="str"/>
      <x:c r="AG79" s="2"/>
      <x:c r="AH79" s="2"/>
    </x:row>
    <x:row r="80" ht="15.75" customHeight="1">
      <x:c r="A80" s="2" t="s">
        <x:v>201</x:v>
      </x:c>
      <x:c r="B80" s="2" t="s">
        <x:v>202</x:v>
      </x:c>
      <x:c r="C80" s="3" t="e">
        <x:f>HYPERLINK("https://scan.mypinata.cloud/ipfs/bafybeih3olry3is4e4lzm7rus5l3h6zrphcal5a7ayfkhzm5oivjro2cp4/#/address/0x3f92D9eE64a3E1405302e68EE0fDE9e085f8CE4B", "0x3f92D9eE64a3E1405302e68EE0fDE9e085f8CE4B")</x:f>
      </x:c>
      <x:c r="D80" s="4" t="str">
        <x:f t="shared" si="1"/>
        <x:v>Atropa Dev</x:v>
      </x:c>
      <x:c r="E80" s="4" t="e">
        <x:f>HYPERLINK("https://scan.mypinata.cloud/ipfs/bafybeih3olry3is4e4lzm7rus5l3h6zrphcal5a7ayfkhzm5oivjro2cp4/#/block/18392220", "18392220")</x:f>
      </x:c>
      <x:c r="F80" s="4" t="e">
        <x:f>HYPERLINK("https://scan.mypinata.cloud/ipfs/bafybeih3olry3is4e4lzm7rus5l3h6zrphcal5a7ayfkhzm5oivjro2cp4/#/tx/0xe05a68540fd043354c22630f7ae39d88fc34ebe76989c3ed8f4a6f9b18b10644", "2023-09-23 23:06:45")</x:f>
      </x:c>
      <x:c r="G80" s="5">
        <x:v>1.0</x:v>
      </x:c>
      <x:c r="H80" s="5">
        <x:v>1.0</x:v>
      </x:c>
      <x:c r="I80" s="5">
        <x:v>1.0</x:v>
      </x:c>
      <x:c r="J80" s="5">
        <x:v>0.0</x:v>
      </x:c>
      <x:c r="K80" s="5">
        <x:v>0.0</x:v>
      </x:c>
      <x:c r="L80" s="2" t="s">
        <x:v>28</x:v>
      </x:c>
      <x:c r="M80" s="2" t="s">
        <x:v>28</x:v>
      </x:c>
      <x:c r="N80" s="2" t="e">
        <x:f>IFERROR(__xludf.DUMMYFUNCTION("IF(ISDATE(TO_DATE(L80)), MAX(0, ROUND(TODAY() - TO_DATE(L80)), 0), ""-"")"),"-")</x:f>
      </x:c>
      <x:c r="O80" s="2" t="e">
        <x:f>IFERROR(__xludf.DUMMYFUNCTION("IF(ISDATE(TO_DATE(M80)), MAX(0, ROUND(TODAY() - TO_DATE(M80)), 0), ""-"")"),"-")</x:f>
      </x:c>
      <x:c r="P80" s="6">
        <x:v>1573.046</x:v>
      </x:c>
      <x:c r="Q80" s="6">
        <x:v>3.91761473546E7</x:v>
      </x:c>
      <x:c r="R80" s="7">
        <x:v>1573.046</x:v>
      </x:c>
      <x:c r="S80" s="7">
        <x:v>1573.0</x:v>
      </x:c>
      <x:c r="T80" s="7">
        <x:v>4.51</x:v>
      </x:c>
      <x:c r="U80" s="7">
        <x:v>152.36</x:v>
      </x:c>
      <x:c r="V80" s="2" t="s">
        <x:v>28</x:v>
      </x:c>
      <x:c r="W80" s="2" t="s">
        <x:v>28</x:v>
      </x:c>
      <x:c r="X80" s="2" t="s">
        <x:v>28</x:v>
      </x:c>
      <x:c r="Y80" s="2" t="s">
        <x:v>28</x:v>
      </x:c>
      <x:c r="Z80" s="9" t="s">
        <x:v>190</x:v>
      </x:c>
      <x:c r="AA80" s="57" t="str">
        <x:v>Snapshot only — run GitHub workflow</x:v>
      </x:c>
      <x:c r="AB80" s="58" t="n">
        <x:f>IFERROR(H80/G80,"")</x:f>
        <x:v>1</x:v>
      </x:c>
      <x:c r="AC80" s="57" t="str"/>
      <x:c r="AD80" s="57" t="str"/>
      <x:c r="AE80" s="57" t="str"/>
      <x:c r="AF80" s="57" t="str"/>
      <x:c r="AG80" s="2"/>
      <x:c r="AH80" s="2"/>
    </x:row>
    <x:row r="81" ht="15.75" customHeight="1">
      <x:c r="A81" s="2" t="s">
        <x:v>203</x:v>
      </x:c>
      <x:c r="B81" s="2" t="s">
        <x:v>204</x:v>
      </x:c>
      <x:c r="C81" s="3" t="e">
        <x:f>HYPERLINK("https://scan.mypinata.cloud/ipfs/bafybeih3olry3is4e4lzm7rus5l3h6zrphcal5a7ayfkhzm5oivjro2cp4/#/address/0x748F3deDf7A31Ded9Cf6421f44f967e3ed85e83a", "0x748F3deDf7A31Ded9Cf6421f44f967e3ed85e83a")</x:f>
      </x:c>
      <x:c r="D81" s="4" t="str">
        <x:f t="shared" si="1"/>
        <x:v>Atropa Dev</x:v>
      </x:c>
      <x:c r="E81" s="4" t="e">
        <x:f>HYPERLINK("https://scan.mypinata.cloud/ipfs/bafybeih3olry3is4e4lzm7rus5l3h6zrphcal5a7ayfkhzm5oivjro2cp4/#/block/18397194", "18397194")</x:f>
      </x:c>
      <x:c r="F81" s="4" t="e">
        <x:f>HYPERLINK("https://scan.mypinata.cloud/ipfs/bafybeih3olry3is4e4lzm7rus5l3h6zrphcal5a7ayfkhzm5oivjro2cp4/#/tx/0xc1776a444ccbae45972fe99687b4cd67dc6d6152d57d728481c9c9a0d6d1183d", "2023-09-24 13:01:55")</x:f>
      </x:c>
      <x:c r="G81" s="5">
        <x:v>666.0</x:v>
      </x:c>
      <x:c r="H81" s="5">
        <x:v>666.0</x:v>
      </x:c>
      <x:c r="I81" s="5">
        <x:v>665.889</x:v>
      </x:c>
      <x:c r="J81" s="5">
        <x:v>0.0</x:v>
      </x:c>
      <x:c r="K81" s="5">
        <x:v>0.111</x:v>
      </x:c>
      <x:c r="L81" s="2" t="s">
        <x:v>28</x:v>
      </x:c>
      <x:c r="M81" s="4" t="e">
        <x:f>HYPERLINK("https://scan.mypinata.cloud/ipfs/bafybeih3olry3is4e4lzm7rus5l3h6zrphcal5a7ayfkhzm5oivjro2cp4/#/tx/0xa6947d59fe6d6fe8bafb3c659dd353c183963a4395baca141aefb9e241e913e6", "2023-10-12 15:26:25")</x:f>
      </x:c>
      <x:c r="N81" s="2" t="e">
        <x:f>IFERROR(__xludf.DUMMYFUNCTION("IF(ISDATE(TO_DATE(L81)), MAX(0, ROUND(TODAY() - TO_DATE(L81)), 0), ""-"")"),"-")</x:f>
      </x:c>
      <x:c r="O81" s="2" t="e">
        <x:f>IFERROR(__xludf.DUMMYFUNCTION("IF(ISDATE(TO_DATE(M81)), MAX(0, ROUND(TODAY() - TO_DATE(M81)), 0), ""-"")"),994.0)</x:f>
      </x:c>
      <x:c r="P81" s="2" t="s">
        <x:v>28</x:v>
      </x:c>
      <x:c r="Q81" s="2" t="s">
        <x:v>28</x:v>
      </x:c>
      <x:c r="R81" s="2" t="s">
        <x:v>28</x:v>
      </x:c>
      <x:c r="S81" s="2" t="s">
        <x:v>28</x:v>
      </x:c>
      <x:c r="T81" s="2" t="s">
        <x:v>28</x:v>
      </x:c>
      <x:c r="U81" s="2" t="s">
        <x:v>28</x:v>
      </x:c>
      <x:c r="V81" s="2" t="s">
        <x:v>28</x:v>
      </x:c>
      <x:c r="W81" s="2" t="s">
        <x:v>28</x:v>
      </x:c>
      <x:c r="X81" s="2" t="s">
        <x:v>28</x:v>
      </x:c>
      <x:c r="Y81" s="2" t="s">
        <x:v>28</x:v>
      </x:c>
      <x:c r="Z81" s="9" t="s">
        <x:v>205</x:v>
      </x:c>
      <x:c r="AA81" s="57" t="str">
        <x:v>Snapshot only — run GitHub workflow</x:v>
      </x:c>
      <x:c r="AB81" s="58" t="n">
        <x:f>IFERROR(H81/G81,"")</x:f>
        <x:v>1</x:v>
      </x:c>
      <x:c r="AC81" s="57" t="str"/>
      <x:c r="AD81" s="57" t="str"/>
      <x:c r="AE81" s="57" t="str"/>
      <x:c r="AF81" s="57" t="str"/>
      <x:c r="AG81" s="2"/>
      <x:c r="AH81" s="2"/>
    </x:row>
    <x:row r="82" ht="15.75" customHeight="1">
      <x:c r="A82" s="2" t="s">
        <x:v>206</x:v>
      </x:c>
      <x:c r="B82" s="2" t="s">
        <x:v>207</x:v>
      </x:c>
      <x:c r="C82" s="3" t="e">
        <x:f>HYPERLINK("https://scan.mypinata.cloud/ipfs/bafybeih3olry3is4e4lzm7rus5l3h6zrphcal5a7ayfkhzm5oivjro2cp4/#/address/0x1162104a7b8766784153Dd2D6aC0eCEAecD28117", "0x1162104a7b8766784153Dd2D6aC0eCEAecD28117")</x:f>
      </x:c>
      <x:c r="D82" s="4" t="str">
        <x:f t="shared" si="1"/>
        <x:v>Atropa Dev</x:v>
      </x:c>
      <x:c r="E82" s="4" t="e">
        <x:f>HYPERLINK("https://scan.mypinata.cloud/ipfs/bafybeih3olry3is4e4lzm7rus5l3h6zrphcal5a7ayfkhzm5oivjro2cp4/#/block/18397962", "18397962")</x:f>
      </x:c>
      <x:c r="F82" s="4" t="e">
        <x:f>HYPERLINK("https://scan.mypinata.cloud/ipfs/bafybeih3olry3is4e4lzm7rus5l3h6zrphcal5a7ayfkhzm5oivjro2cp4/#/tx/0x5d34a5015e541141a50f2c47b6ef681bca458d2fc70e31f69864d128f7b86788", "2023-09-24 15:10:35")</x:f>
      </x:c>
      <x:c r="G82" s="5">
        <x:v>4.0</x:v>
      </x:c>
      <x:c r="H82" s="5">
        <x:v>4.0</x:v>
      </x:c>
      <x:c r="I82" s="5">
        <x:v>4.0</x:v>
      </x:c>
      <x:c r="J82" s="5">
        <x:v>0.0</x:v>
      </x:c>
      <x:c r="K82" s="5">
        <x:v>0.0</x:v>
      </x:c>
      <x:c r="L82" s="2" t="s">
        <x:v>28</x:v>
      </x:c>
      <x:c r="M82" s="2" t="s">
        <x:v>28</x:v>
      </x:c>
      <x:c r="N82" s="2" t="e">
        <x:f>IFERROR(__xludf.DUMMYFUNCTION("IF(ISDATE(TO_DATE(L82)), MAX(0, ROUND(TODAY() - TO_DATE(L82)), 0), ""-"")"),"-")</x:f>
      </x:c>
      <x:c r="O82" s="2" t="e">
        <x:f>IFERROR(__xludf.DUMMYFUNCTION("IF(ISDATE(TO_DATE(M82)), MAX(0, ROUND(TODAY() - TO_DATE(M82)), 0), ""-"")"),"-")</x:f>
      </x:c>
      <x:c r="P82" s="6">
        <x:v>59626.62</x:v>
      </x:c>
      <x:c r="Q82" s="6">
        <x:v>1.5105133055823E9</x:v>
      </x:c>
      <x:c r="R82" s="7">
        <x:v>238506.48</x:v>
      </x:c>
      <x:c r="S82" s="7">
        <x:v>238507.0</x:v>
      </x:c>
      <x:c r="T82" s="7">
        <x:v>133.74</x:v>
      </x:c>
      <x:c r="U82" s="7">
        <x:v>12857.69</x:v>
      </x:c>
      <x:c r="V82" s="2" t="s">
        <x:v>28</x:v>
      </x:c>
      <x:c r="W82" s="2" t="s">
        <x:v>28</x:v>
      </x:c>
      <x:c r="X82" s="2" t="s">
        <x:v>28</x:v>
      </x:c>
      <x:c r="Y82" s="2" t="s">
        <x:v>28</x:v>
      </x:c>
      <x:c r="Z82" s="9" t="s">
        <x:v>208</x:v>
      </x:c>
      <x:c r="AA82" s="57" t="str">
        <x:v>Snapshot only — run GitHub workflow</x:v>
      </x:c>
      <x:c r="AB82" s="58" t="n">
        <x:f>IFERROR(H82/G82,"")</x:f>
        <x:v>1</x:v>
      </x:c>
      <x:c r="AC82" s="57" t="str"/>
      <x:c r="AD82" s="57" t="str"/>
      <x:c r="AE82" s="57" t="str"/>
      <x:c r="AF82" s="57" t="str"/>
      <x:c r="AG82" s="2"/>
      <x:c r="AH82" s="2"/>
    </x:row>
    <x:row r="83" ht="15.75" customHeight="1">
      <x:c r="A83" s="2" t="s">
        <x:v>209</x:v>
      </x:c>
      <x:c r="B83" s="2" t="s">
        <x:v>210</x:v>
      </x:c>
      <x:c r="C83" s="3" t="e">
        <x:f>HYPERLINK("https://scan.mypinata.cloud/ipfs/bafybeih3olry3is4e4lzm7rus5l3h6zrphcal5a7ayfkhzm5oivjro2cp4/#/address/0xB2D8e9717931F58EF6d2c8ee548Ec964091Fb6E7", "0xB2D8e9717931F58EF6d2c8ee548Ec964091Fb6E7")</x:f>
      </x:c>
      <x:c r="D83" s="4" t="str">
        <x:f t="shared" si="1"/>
        <x:v>Atropa Dev</x:v>
      </x:c>
      <x:c r="E83" s="4" t="e">
        <x:f>HYPERLINK("https://scan.mypinata.cloud/ipfs/bafybeih3olry3is4e4lzm7rus5l3h6zrphcal5a7ayfkhzm5oivjro2cp4/#/block/18398561", "18398561")</x:f>
      </x:c>
      <x:c r="F83" s="4" t="e">
        <x:f>HYPERLINK("https://scan.mypinata.cloud/ipfs/bafybeih3olry3is4e4lzm7rus5l3h6zrphcal5a7ayfkhzm5oivjro2cp4/#/tx/0x3c91556e7b3c27219cdb195eef17f412d92c61741c79074da0b292ac418146f4", "2023-09-24 16:51:15")</x:f>
      </x:c>
      <x:c r="G83" s="5">
        <x:v>100.0</x:v>
      </x:c>
      <x:c r="H83" s="5">
        <x:v>100.0</x:v>
      </x:c>
      <x:c r="I83" s="5">
        <x:v>100.0</x:v>
      </x:c>
      <x:c r="J83" s="5">
        <x:v>0.0</x:v>
      </x:c>
      <x:c r="K83" s="5">
        <x:v>0.0</x:v>
      </x:c>
      <x:c r="L83" s="2" t="s">
        <x:v>28</x:v>
      </x:c>
      <x:c r="M83" s="2" t="s">
        <x:v>28</x:v>
      </x:c>
      <x:c r="N83" s="2" t="e">
        <x:f>IFERROR(__xludf.DUMMYFUNCTION("IF(ISDATE(TO_DATE(L83)), MAX(0, ROUND(TODAY() - TO_DATE(L83)), 0), ""-"")"),"-")</x:f>
      </x:c>
      <x:c r="O83" s="2" t="e">
        <x:f>IFERROR(__xludf.DUMMYFUNCTION("IF(ISDATE(TO_DATE(M83)), MAX(0, ROUND(TODAY() - TO_DATE(M83)), 0), ""-"")"),"-")</x:f>
      </x:c>
      <x:c r="P83" s="6">
        <x:v>86.82</x:v>
      </x:c>
      <x:c r="Q83" s="6">
        <x:v>2149871.2308</x:v>
      </x:c>
      <x:c r="R83" s="7">
        <x:v>8682.0</x:v>
      </x:c>
      <x:c r="S83" s="7">
        <x:v>8683.0</x:v>
      </x:c>
      <x:c r="T83" s="7">
        <x:v>7.3100000000000005</x:v>
      </x:c>
      <x:c r="U83" s="7">
        <x:v>4109.4400000000005</x:v>
      </x:c>
      <x:c r="V83" s="2" t="s">
        <x:v>28</x:v>
      </x:c>
      <x:c r="W83" s="2" t="s">
        <x:v>28</x:v>
      </x:c>
      <x:c r="X83" s="2" t="s">
        <x:v>28</x:v>
      </x:c>
      <x:c r="Y83" s="2" t="s">
        <x:v>28</x:v>
      </x:c>
      <x:c r="Z83" s="9" t="s">
        <x:v>211</x:v>
      </x:c>
      <x:c r="AA83" s="57" t="str">
        <x:v>Snapshot only — run GitHub workflow</x:v>
      </x:c>
      <x:c r="AB83" s="58" t="n">
        <x:f>IFERROR(H83/G83,"")</x:f>
        <x:v>1</x:v>
      </x:c>
      <x:c r="AC83" s="57" t="str"/>
      <x:c r="AD83" s="57" t="str"/>
      <x:c r="AE83" s="57" t="str"/>
      <x:c r="AF83" s="57" t="str"/>
      <x:c r="AG83" s="2"/>
      <x:c r="AH83" s="2"/>
    </x:row>
    <x:row r="84" ht="15.75" customHeight="1">
      <x:c r="A84" s="2" t="s">
        <x:v>212</x:v>
      </x:c>
      <x:c r="B84" s="2" t="s">
        <x:v>213</x:v>
      </x:c>
      <x:c r="C84" s="3" t="e">
        <x:f>HYPERLINK("https://scan.mypinata.cloud/ipfs/bafybeih3olry3is4e4lzm7rus5l3h6zrphcal5a7ayfkhzm5oivjro2cp4/#/address/0x840CBD20A70774BECAc4e932Fff6fb1f5417997F", "0x840CBD20A70774BECAc4e932Fff6fb1f5417997F")</x:f>
      </x:c>
      <x:c r="D84" s="4" t="str">
        <x:f t="shared" si="1"/>
        <x:v>Atropa Dev</x:v>
      </x:c>
      <x:c r="E84" s="4" t="e">
        <x:f>HYPERLINK("https://scan.mypinata.cloud/ipfs/bafybeih3olry3is4e4lzm7rus5l3h6zrphcal5a7ayfkhzm5oivjro2cp4/#/block/18400848", "18400848")</x:f>
      </x:c>
      <x:c r="F84" s="4" t="e">
        <x:f>HYPERLINK("https://scan.mypinata.cloud/ipfs/bafybeih3olry3is4e4lzm7rus5l3h6zrphcal5a7ayfkhzm5oivjro2cp4/#/tx/0x18ee986ca4e5e2c8bfc29e9579b70b8a0465ccfa1291cc7df6651af39468e07e", "2023-09-24 23:13:45")</x:f>
      </x:c>
      <x:c r="G84" s="5">
        <x:v>1.6392173767089844</x:v>
      </x:c>
      <x:c r="H84" s="5">
        <x:v>1.6392173767089844</x:v>
      </x:c>
      <x:c r="I84" s="5">
        <x:v>1.6392173767089844</x:v>
      </x:c>
      <x:c r="J84" s="5">
        <x:v>0.0</x:v>
      </x:c>
      <x:c r="K84" s="5">
        <x:v>0.0</x:v>
      </x:c>
      <x:c r="L84" s="2" t="s">
        <x:v>28</x:v>
      </x:c>
      <x:c r="M84" s="2" t="s">
        <x:v>28</x:v>
      </x:c>
      <x:c r="N84" s="2" t="e">
        <x:f>IFERROR(__xludf.DUMMYFUNCTION("IF(ISDATE(TO_DATE(L84)), MAX(0, ROUND(TODAY() - TO_DATE(L84)), 0), ""-"")"),"-")</x:f>
      </x:c>
      <x:c r="O84" s="2" t="e">
        <x:f>IFERROR(__xludf.DUMMYFUNCTION("IF(ISDATE(TO_DATE(M84)), MAX(0, ROUND(TODAY() - TO_DATE(M84)), 0), ""-"")"),"-")</x:f>
      </x:c>
      <x:c r="P84" s="6">
        <x:v>143683.028</x:v>
      </x:c>
      <x:c r="Q84" s="6">
        <x:v>3.6488760592816E9</x:v>
      </x:c>
      <x:c r="R84" s="7">
        <x:v>235527.71623576354</x:v>
      </x:c>
      <x:c r="S84" s="7">
        <x:v>235528.0</x:v>
      </x:c>
      <x:c r="T84" s="7">
        <x:v>214.24</x:v>
      </x:c>
      <x:c r="U84" s="7">
        <x:v>43355.05</x:v>
      </x:c>
      <x:c r="V84" s="2" t="s">
        <x:v>28</x:v>
      </x:c>
      <x:c r="W84" s="2" t="s">
        <x:v>28</x:v>
      </x:c>
      <x:c r="X84" s="2" t="s">
        <x:v>28</x:v>
      </x:c>
      <x:c r="Y84" s="2" t="s">
        <x:v>28</x:v>
      </x:c>
      <x:c r="Z84" s="9" t="s">
        <x:v>208</x:v>
      </x:c>
      <x:c r="AA84" s="57" t="str">
        <x:v>Snapshot only — run GitHub workflow</x:v>
      </x:c>
      <x:c r="AB84" s="58" t="n">
        <x:f>IFERROR(H84/G84,"")</x:f>
        <x:v>1</x:v>
      </x:c>
      <x:c r="AC84" s="57" t="str"/>
      <x:c r="AD84" s="57" t="str"/>
      <x:c r="AE84" s="57" t="str"/>
      <x:c r="AF84" s="57" t="str"/>
      <x:c r="AG84" s="2"/>
      <x:c r="AH84" s="2"/>
    </x:row>
    <x:row r="85" ht="15.75" customHeight="1">
      <x:c r="A85" s="12" t="s">
        <x:v>214</x:v>
      </x:c>
      <x:c r="B85" s="12" t="s">
        <x:v>215</x:v>
      </x:c>
      <x:c r="C85" s="13" t="e">
        <x:f>HYPERLINK("https://scan.mypinata.cloud/ipfs/bafybeih3olry3is4e4lzm7rus5l3h6zrphcal5a7ayfkhzm5oivjro2cp4/#/address/0x7614Fabf7e0b0dfCC0e02A14E720677148c5141d", "0x7614Fabf7e0b0dfCC0e02A14E720677148c5141d")</x:f>
      </x:c>
      <x:c r="D85" s="14" t="str">
        <x:f t="shared" si="1"/>
        <x:v>Atropa Dev</x:v>
      </x:c>
      <x:c r="E85" s="14" t="e">
        <x:f>HYPERLINK("https://scan.mypinata.cloud/ipfs/bafybeih3olry3is4e4lzm7rus5l3h6zrphcal5a7ayfkhzm5oivjro2cp4/#/block/18400961", "18400961")</x:f>
      </x:c>
      <x:c r="F85" s="14" t="e">
        <x:f>HYPERLINK("https://scan.mypinata.cloud/ipfs/bafybeih3olry3is4e4lzm7rus5l3h6zrphcal5a7ayfkhzm5oivjro2cp4/#/tx/0x5fdc15abd2aa54a72ac142cbdaab772a576bdd1a380df22bb02216e2bb1bda1d", "2023-09-24 23:32:45")</x:f>
      </x:c>
      <x:c r="G85" s="15">
        <x:v>700.0</x:v>
      </x:c>
      <x:c r="H85" s="15">
        <x:v>700.0</x:v>
      </x:c>
      <x:c r="I85" s="15">
        <x:v>700.0</x:v>
      </x:c>
      <x:c r="J85" s="15">
        <x:v>0.0</x:v>
      </x:c>
      <x:c r="K85" s="15">
        <x:v>0.0</x:v>
      </x:c>
      <x:c r="L85" s="16" t="s">
        <x:v>28</x:v>
      </x:c>
      <x:c r="M85" s="16" t="s">
        <x:v>28</x:v>
      </x:c>
      <x:c r="N85" s="16" t="e">
        <x:f>IFERROR(__xludf.DUMMYFUNCTION("IF(ISDATE(TO_DATE(L85)), MAX(0, ROUND(TODAY() - TO_DATE(L85)), 0), ""-"")"),"-")</x:f>
      </x:c>
      <x:c r="O85" s="16" t="e">
        <x:f>IFERROR(__xludf.DUMMYFUNCTION("IF(ISDATE(TO_DATE(M85)), MAX(0, ROUND(TODAY() - TO_DATE(M85)), 0), ""-"")"),"-")</x:f>
      </x:c>
      <x:c r="P85" s="17">
        <x:v>11.41</x:v>
      </x:c>
      <x:c r="Q85" s="17">
        <x:v>289997.4929</x:v>
      </x:c>
      <x:c r="R85" s="18">
        <x:v>7987.0</x:v>
      </x:c>
      <x:c r="S85" s="18">
        <x:v>7994.0</x:v>
      </x:c>
      <x:c r="T85" s="18">
        <x:v>1.34</x:v>
      </x:c>
      <x:c r="U85" s="18">
        <x:v>71.11</x:v>
      </x:c>
      <x:c r="V85" s="16" t="s">
        <x:v>28</x:v>
      </x:c>
      <x:c r="W85" s="16" t="s">
        <x:v>28</x:v>
      </x:c>
      <x:c r="X85" s="16" t="s">
        <x:v>28</x:v>
      </x:c>
      <x:c r="Y85" s="16" t="s">
        <x:v>28</x:v>
      </x:c>
      <x:c r="Z85" s="19" t="s">
        <x:v>182</x:v>
      </x:c>
      <x:c r="AA85" s="37" t="str">
        <x:v>Snapshot only — run GitHub workflow</x:v>
      </x:c>
      <x:c r="AB85" s="59" t="n">
        <x:f>IFERROR(H85/G85,"")</x:f>
        <x:v>1</x:v>
      </x:c>
      <x:c r="AC85" s="37" t="str"/>
      <x:c r="AD85" s="37" t="str"/>
      <x:c r="AE85" s="37" t="str"/>
      <x:c r="AF85" s="37" t="str"/>
      <x:c r="AG85" s="16"/>
      <x:c r="AH85" s="16"/>
    </x:row>
    <x:row r="86" ht="15.75" customHeight="1">
      <x:c r="A86" s="11" t="s">
        <x:v>216</x:v>
      </x:c>
      <x:c r="B86" s="11" t="s">
        <x:v>217</x:v>
      </x:c>
      <x:c r="C86" s="3" t="e">
        <x:f>HYPERLINK("https://scan.mypinata.cloud/ipfs/bafybeih3olry3is4e4lzm7rus5l3h6zrphcal5a7ayfkhzm5oivjro2cp4/#/address/0xBb341FD5C855c206f5538cc649f90d84Df19b65a", "0xBb341FD5C855c206f5538cc649f90d84Df19b65a")</x:f>
      </x:c>
      <x:c r="D86" s="4" t="str">
        <x:f t="shared" si="1"/>
        <x:v>Atropa Dev</x:v>
      </x:c>
      <x:c r="E86" s="4" t="e">
        <x:f>HYPERLINK("https://scan.mypinata.cloud/ipfs/bafybeih3olry3is4e4lzm7rus5l3h6zrphcal5a7ayfkhzm5oivjro2cp4/#/block/18401171", "18401171")</x:f>
      </x:c>
      <x:c r="F86" s="4" t="e">
        <x:f>HYPERLINK("https://scan.mypinata.cloud/ipfs/bafybeih3olry3is4e4lzm7rus5l3h6zrphcal5a7ayfkhzm5oivjro2cp4/#/tx/0x8d63ba4cf74f3c0b7efc469d70bb639d06186179e4fdb04bfa682d2e14c230ce", "2023-09-25 00:07:55")</x:f>
      </x:c>
      <x:c r="G86" s="5">
        <x:v>222.0</x:v>
      </x:c>
      <x:c r="H86" s="5">
        <x:v>222.0</x:v>
      </x:c>
      <x:c r="I86" s="5">
        <x:v>221.9999997035178</x:v>
      </x:c>
      <x:c r="J86" s="5">
        <x:v>0.0</x:v>
      </x:c>
      <x:c r="K86" s="10" t="s">
        <x:v>218</x:v>
      </x:c>
      <x:c r="L86" s="2" t="s">
        <x:v>28</x:v>
      </x:c>
      <x:c r="M86" s="4" t="e">
        <x:f>HYPERLINK("https://scan.mypinata.cloud/ipfs/bafybeih3olry3is4e4lzm7rus5l3h6zrphcal5a7ayfkhzm5oivjro2cp4/#/tx/0x384e13fb9465f919496dd9f38d455a2374455e6c861e02b329398a59464b6f30", "2024-03-05 01:13:25")</x:f>
      </x:c>
      <x:c r="N86" s="2" t="e">
        <x:f>IFERROR(__xludf.DUMMYFUNCTION("IF(ISDATE(TO_DATE(L86)), MAX(0, ROUND(TODAY() - TO_DATE(L86)), 0), ""-"")"),"-")</x:f>
      </x:c>
      <x:c r="O86" s="2" t="e">
        <x:f>IFERROR(__xludf.DUMMYFUNCTION("IF(ISDATE(TO_DATE(M86)), MAX(0, ROUND(TODAY() - TO_DATE(M86)), 0), ""-"")"),850.0)</x:f>
      </x:c>
      <x:c r="P86" s="6">
        <x:v>245.94</x:v>
      </x:c>
      <x:c r="Q86" s="6">
        <x:v>6110342.9245</x:v>
      </x:c>
      <x:c r="R86" s="7">
        <x:v>54598.68</x:v>
      </x:c>
      <x:c r="S86" s="7">
        <x:v>54600.0</x:v>
      </x:c>
      <x:c r="T86" s="7">
        <x:v>135.97</x:v>
      </x:c>
      <x:c r="U86" s="7">
        <x:v>11240.14</x:v>
      </x:c>
      <x:c r="V86" s="2" t="s">
        <x:v>28</x:v>
      </x:c>
      <x:c r="W86" s="2" t="s">
        <x:v>28</x:v>
      </x:c>
      <x:c r="X86" s="2" t="s">
        <x:v>28</x:v>
      </x:c>
      <x:c r="Y86" s="2" t="s">
        <x:v>28</x:v>
      </x:c>
      <x:c r="Z86" s="9" t="s">
        <x:v>219</x:v>
      </x:c>
      <x:c r="AA86" s="57" t="str">
        <x:v>Snapshot only — run GitHub workflow</x:v>
      </x:c>
      <x:c r="AB86" s="58" t="n">
        <x:f>IFERROR(H86/G86,"")</x:f>
        <x:v>1</x:v>
      </x:c>
      <x:c r="AC86" s="57" t="str"/>
      <x:c r="AD86" s="57" t="str"/>
      <x:c r="AE86" s="57" t="str"/>
      <x:c r="AF86" s="57" t="str"/>
      <x:c r="AG86" s="2"/>
      <x:c r="AH86" s="2"/>
    </x:row>
    <x:row r="87" ht="15.75" customHeight="1">
      <x:c r="A87" s="2" t="s">
        <x:v>220</x:v>
      </x:c>
      <x:c r="B87" s="2" t="s">
        <x:v>221</x:v>
      </x:c>
      <x:c r="C87" s="3" t="e">
        <x:f>HYPERLINK("https://scan.mypinata.cloud/ipfs/bafybeih3olry3is4e4lzm7rus5l3h6zrphcal5a7ayfkhzm5oivjro2cp4/#/address/0xF9bC351eef0F1242953Dde097C9e6e57B8FF3A42", "0xF9bC351eef0F1242953Dde097C9e6e57B8FF3A42")</x:f>
      </x:c>
      <x:c r="D87" s="4" t="str">
        <x:f t="shared" si="1"/>
        <x:v>Atropa Dev</x:v>
      </x:c>
      <x:c r="E87" s="4" t="e">
        <x:f>HYPERLINK("https://scan.mypinata.cloud/ipfs/bafybeih3olry3is4e4lzm7rus5l3h6zrphcal5a7ayfkhzm5oivjro2cp4/#/block/18401310", "18401310")</x:f>
      </x:c>
      <x:c r="F87" s="4" t="e">
        <x:f>HYPERLINK("https://scan.mypinata.cloud/ipfs/bafybeih3olry3is4e4lzm7rus5l3h6zrphcal5a7ayfkhzm5oivjro2cp4/#/tx/0x947c3dd3254bb068f137bccc11b4f1ab65c4332fdb2e946a177f5f3b20d36364", "2023-09-25 00:31:05")</x:f>
      </x:c>
      <x:c r="G87" s="5">
        <x:v>3.16</x:v>
      </x:c>
      <x:c r="H87" s="5">
        <x:v>3.16</x:v>
      </x:c>
      <x:c r="I87" s="5">
        <x:v>3.16</x:v>
      </x:c>
      <x:c r="J87" s="5">
        <x:v>0.0</x:v>
      </x:c>
      <x:c r="K87" s="5">
        <x:v>0.0</x:v>
      </x:c>
      <x:c r="L87" s="2" t="s">
        <x:v>28</x:v>
      </x:c>
      <x:c r="M87" s="2" t="s">
        <x:v>28</x:v>
      </x:c>
      <x:c r="N87" s="2" t="e">
        <x:f>IFERROR(__xludf.DUMMYFUNCTION("IF(ISDATE(TO_DATE(L87)), MAX(0, ROUND(TODAY() - TO_DATE(L87)), 0), ""-"")"),"-")</x:f>
      </x:c>
      <x:c r="O87" s="2" t="e">
        <x:f>IFERROR(__xludf.DUMMYFUNCTION("IF(ISDATE(TO_DATE(M87)), MAX(0, ROUND(TODAY() - TO_DATE(M87)), 0), ""-"")"),"-")</x:f>
      </x:c>
      <x:c r="P87" s="6">
        <x:v>1305.32</x:v>
      </x:c>
      <x:c r="Q87" s="6">
        <x:v>3.257811802063E7</x:v>
      </x:c>
      <x:c r="R87" s="7">
        <x:v>4124.8112</x:v>
      </x:c>
      <x:c r="S87" s="7">
        <x:v>4125.0</x:v>
      </x:c>
      <x:c r="T87" s="7">
        <x:v>7.82</x:v>
      </x:c>
      <x:c r="U87" s="7">
        <x:v>2790.2700000000004</x:v>
      </x:c>
      <x:c r="V87" s="2" t="s">
        <x:v>28</x:v>
      </x:c>
      <x:c r="W87" s="2" t="s">
        <x:v>28</x:v>
      </x:c>
      <x:c r="X87" s="2" t="s">
        <x:v>28</x:v>
      </x:c>
      <x:c r="Y87" s="2" t="s">
        <x:v>28</x:v>
      </x:c>
      <x:c r="Z87" s="9" t="s">
        <x:v>208</x:v>
      </x:c>
      <x:c r="AA87" s="57" t="str">
        <x:v>Snapshot only — run GitHub workflow</x:v>
      </x:c>
      <x:c r="AB87" s="58" t="n">
        <x:f>IFERROR(H87/G87,"")</x:f>
        <x:v>1</x:v>
      </x:c>
      <x:c r="AC87" s="57" t="str"/>
      <x:c r="AD87" s="57" t="str"/>
      <x:c r="AE87" s="57" t="str"/>
      <x:c r="AF87" s="57" t="str"/>
      <x:c r="AG87" s="2"/>
      <x:c r="AH87" s="2"/>
    </x:row>
    <x:row r="88" ht="15.75" customHeight="1">
      <x:c r="A88" s="2" t="s">
        <x:v>222</x:v>
      </x:c>
      <x:c r="B88" s="2" t="s">
        <x:v>223</x:v>
      </x:c>
      <x:c r="C88" s="3" t="e">
        <x:f>HYPERLINK("https://scan.mypinata.cloud/ipfs/bafybeih3olry3is4e4lzm7rus5l3h6zrphcal5a7ayfkhzm5oivjro2cp4/#/address/0x6236073377AC7e0aB694957dA5d7d4241e72EBc6", "0x6236073377AC7e0aB694957dA5d7d4241e72EBc6")</x:f>
      </x:c>
      <x:c r="D88" s="4" t="str">
        <x:f t="shared" si="1"/>
        <x:v>Atropa Dev</x:v>
      </x:c>
      <x:c r="E88" s="4" t="e">
        <x:f>HYPERLINK("https://scan.mypinata.cloud/ipfs/bafybeih3olry3is4e4lzm7rus5l3h6zrphcal5a7ayfkhzm5oivjro2cp4/#/block/18401480", "18401480")</x:f>
      </x:c>
      <x:c r="F88" s="4" t="e">
        <x:f>HYPERLINK("https://scan.mypinata.cloud/ipfs/bafybeih3olry3is4e4lzm7rus5l3h6zrphcal5a7ayfkhzm5oivjro2cp4/#/tx/0xe2c167ba9fe98fdbe95333aa9c1e47383f98eb703a3b23be37487e884af2ada6", "2023-09-25 00:59:35")</x:f>
      </x:c>
      <x:c r="G88" s="5">
        <x:v>212.0</x:v>
      </x:c>
      <x:c r="H88" s="5">
        <x:v>212.0</x:v>
      </x:c>
      <x:c r="I88" s="5">
        <x:v>212.0</x:v>
      </x:c>
      <x:c r="J88" s="5">
        <x:v>0.0</x:v>
      </x:c>
      <x:c r="K88" s="5">
        <x:v>0.0</x:v>
      </x:c>
      <x:c r="L88" s="2" t="s">
        <x:v>28</x:v>
      </x:c>
      <x:c r="M88" s="2" t="s">
        <x:v>28</x:v>
      </x:c>
      <x:c r="N88" s="2" t="e">
        <x:f>IFERROR(__xludf.DUMMYFUNCTION("IF(ISDATE(TO_DATE(L88)), MAX(0, ROUND(TODAY() - TO_DATE(L88)), 0), ""-"")"),"-")</x:f>
      </x:c>
      <x:c r="O88" s="2" t="e">
        <x:f>IFERROR(__xludf.DUMMYFUNCTION("IF(ISDATE(TO_DATE(M88)), MAX(0, ROUND(TODAY() - TO_DATE(M88)), 0), ""-"")"),"-")</x:f>
      </x:c>
      <x:c r="P88" s="6">
        <x:v>698.9</x:v>
      </x:c>
      <x:c r="Q88" s="6">
        <x:v>1.72395676447E7</x:v>
      </x:c>
      <x:c r="R88" s="7">
        <x:v>148166.8</x:v>
      </x:c>
      <x:c r="S88" s="7">
        <x:v>148168.0</x:v>
      </x:c>
      <x:c r="T88" s="7">
        <x:v>236.51000000000002</x:v>
      </x:c>
      <x:c r="U88" s="7">
        <x:v>14977.630000000001</x:v>
      </x:c>
      <x:c r="V88" s="2" t="s">
        <x:v>28</x:v>
      </x:c>
      <x:c r="W88" s="2" t="s">
        <x:v>28</x:v>
      </x:c>
      <x:c r="X88" s="2" t="s">
        <x:v>28</x:v>
      </x:c>
      <x:c r="Y88" s="2" t="s">
        <x:v>28</x:v>
      </x:c>
      <x:c r="Z88" s="9" t="s">
        <x:v>224</x:v>
      </x:c>
      <x:c r="AA88" s="57" t="str">
        <x:v>Snapshot only — run GitHub workflow</x:v>
      </x:c>
      <x:c r="AB88" s="58" t="n">
        <x:f>IFERROR(H88/G88,"")</x:f>
        <x:v>1</x:v>
      </x:c>
      <x:c r="AC88" s="57" t="str"/>
      <x:c r="AD88" s="57" t="str"/>
      <x:c r="AE88" s="57" t="str"/>
      <x:c r="AF88" s="57" t="str"/>
      <x:c r="AG88" s="2"/>
      <x:c r="AH88" s="2"/>
    </x:row>
    <x:row r="89" ht="15.75" customHeight="1">
      <x:c r="A89" s="2" t="s">
        <x:v>225</x:v>
      </x:c>
      <x:c r="B89" s="2" t="s">
        <x:v>226</x:v>
      </x:c>
      <x:c r="C89" s="3" t="e">
        <x:f>HYPERLINK("https://scan.mypinata.cloud/ipfs/bafybeih3olry3is4e4lzm7rus5l3h6zrphcal5a7ayfkhzm5oivjro2cp4/#/address/0x7F51FdB20246D7a673036f11C743E99A4AF01de0", "0x7F51FdB20246D7a673036f11C743E99A4AF01de0")</x:f>
      </x:c>
      <x:c r="D89" s="4" t="str">
        <x:f t="shared" si="1"/>
        <x:v>Atropa Dev</x:v>
      </x:c>
      <x:c r="E89" s="4" t="e">
        <x:f>HYPERLINK("https://scan.mypinata.cloud/ipfs/bafybeih3olry3is4e4lzm7rus5l3h6zrphcal5a7ayfkhzm5oivjro2cp4/#/block/18405282", "18405282")</x:f>
      </x:c>
      <x:c r="F89" s="4" t="e">
        <x:f>HYPERLINK("https://scan.mypinata.cloud/ipfs/bafybeih3olry3is4e4lzm7rus5l3h6zrphcal5a7ayfkhzm5oivjro2cp4/#/tx/0x231a9b4cfa3e547bb5484a754fa43baf8e8bb40d2fe8aa3030cf74d1688ab229", "2023-09-25 11:36:15")</x:f>
      </x:c>
      <x:c r="G89" s="5">
        <x:v>5555.0</x:v>
      </x:c>
      <x:c r="H89" s="5">
        <x:v>5555.0</x:v>
      </x:c>
      <x:c r="I89" s="5">
        <x:v>5555.0</x:v>
      </x:c>
      <x:c r="J89" s="5">
        <x:v>0.0</x:v>
      </x:c>
      <x:c r="K89" s="5">
        <x:v>0.0</x:v>
      </x:c>
      <x:c r="L89" s="2" t="s">
        <x:v>28</x:v>
      </x:c>
      <x:c r="M89" s="2" t="s">
        <x:v>28</x:v>
      </x:c>
      <x:c r="N89" s="2" t="e">
        <x:f>IFERROR(__xludf.DUMMYFUNCTION("IF(ISDATE(TO_DATE(L89)), MAX(0, ROUND(TODAY() - TO_DATE(L89)), 0), ""-"")"),"-")</x:f>
      </x:c>
      <x:c r="O89" s="2" t="e">
        <x:f>IFERROR(__xludf.DUMMYFUNCTION("IF(ISDATE(TO_DATE(M89)), MAX(0, ROUND(TODAY() - TO_DATE(M89)), 0), ""-"")"),"-")</x:f>
      </x:c>
      <x:c r="P89" s="6">
        <x:v>9.54</x:v>
      </x:c>
      <x:c r="Q89" s="6">
        <x:v>239856.5705</x:v>
      </x:c>
      <x:c r="R89" s="7">
        <x:v>52994.7</x:v>
      </x:c>
      <x:c r="S89" s="7">
        <x:v>53045.0</x:v>
      </x:c>
      <x:c r="T89" s="7">
        <x:v>126.33</x:v>
      </x:c>
      <x:c r="U89" s="7">
        <x:v>16268.45</x:v>
      </x:c>
      <x:c r="V89" s="2" t="s">
        <x:v>28</x:v>
      </x:c>
      <x:c r="W89" s="2" t="s">
        <x:v>28</x:v>
      </x:c>
      <x:c r="X89" s="2" t="s">
        <x:v>28</x:v>
      </x:c>
      <x:c r="Y89" s="2" t="s">
        <x:v>28</x:v>
      </x:c>
      <x:c r="Z89" s="9" t="s">
        <x:v>227</x:v>
      </x:c>
      <x:c r="AA89" s="57" t="str">
        <x:v>Snapshot only — run GitHub workflow</x:v>
      </x:c>
      <x:c r="AB89" s="58" t="n">
        <x:f>IFERROR(H89/G89,"")</x:f>
        <x:v>1</x:v>
      </x:c>
      <x:c r="AC89" s="57" t="str"/>
      <x:c r="AD89" s="57" t="str"/>
      <x:c r="AE89" s="57" t="str"/>
      <x:c r="AF89" s="57" t="str"/>
      <x:c r="AG89" s="2"/>
      <x:c r="AH89" s="2"/>
    </x:row>
    <x:row r="90" ht="15.75" customHeight="1">
      <x:c r="A90" s="2" t="s">
        <x:v>228</x:v>
      </x:c>
      <x:c r="B90" s="2" t="s">
        <x:v>229</x:v>
      </x:c>
      <x:c r="C90" s="3" t="e">
        <x:f>HYPERLINK("https://scan.mypinata.cloud/ipfs/bafybeih3olry3is4e4lzm7rus5l3h6zrphcal5a7ayfkhzm5oivjro2cp4/#/address/0x3d67511733d976800467119264C3d4Cd9FA23041", "0x3d67511733d976800467119264C3d4Cd9FA23041")</x:f>
      </x:c>
      <x:c r="D90" s="4" t="str">
        <x:f t="shared" si="1"/>
        <x:v>Atropa Dev</x:v>
      </x:c>
      <x:c r="E90" s="4" t="e">
        <x:f>HYPERLINK("https://scan.mypinata.cloud/ipfs/bafybeih3olry3is4e4lzm7rus5l3h6zrphcal5a7ayfkhzm5oivjro2cp4/#/block/18405681", "18405681")</x:f>
      </x:c>
      <x:c r="F90" s="4" t="e">
        <x:f>HYPERLINK("https://scan.mypinata.cloud/ipfs/bafybeih3olry3is4e4lzm7rus5l3h6zrphcal5a7ayfkhzm5oivjro2cp4/#/tx/0xac234f41ce99d6c8491a2fef8aa2709041518d4b543738e3ec4bc0e8f914e9cd", "2023-09-25 12:43:35")</x:f>
      </x:c>
      <x:c r="G90" s="5">
        <x:v>2.0</x:v>
      </x:c>
      <x:c r="H90" s="5">
        <x:v>2.0</x:v>
      </x:c>
      <x:c r="I90" s="5">
        <x:v>2.0</x:v>
      </x:c>
      <x:c r="J90" s="5">
        <x:v>0.0</x:v>
      </x:c>
      <x:c r="K90" s="5">
        <x:v>0.0</x:v>
      </x:c>
      <x:c r="L90" s="2" t="s">
        <x:v>28</x:v>
      </x:c>
      <x:c r="M90" s="2" t="s">
        <x:v>28</x:v>
      </x:c>
      <x:c r="N90" s="2" t="e">
        <x:f>IFERROR(__xludf.DUMMYFUNCTION("IF(ISDATE(TO_DATE(L90)), MAX(0, ROUND(TODAY() - TO_DATE(L90)), 0), ""-"")"),"-")</x:f>
      </x:c>
      <x:c r="O90" s="2" t="e">
        <x:f>IFERROR(__xludf.DUMMYFUNCTION("IF(ISDATE(TO_DATE(M90)), MAX(0, ROUND(TODAY() - TO_DATE(M90)), 0), ""-"")"),"-")</x:f>
      </x:c>
      <x:c r="P90" s="6">
        <x:v>39752.5</x:v>
      </x:c>
      <x:c r="Q90" s="6">
        <x:v>9.888154092142E8</x:v>
      </x:c>
      <x:c r="R90" s="7">
        <x:v>79505.0</x:v>
      </x:c>
      <x:c r="S90" s="7">
        <x:v>79505.0</x:v>
      </x:c>
      <x:c r="T90" s="7">
        <x:v>31.32</x:v>
      </x:c>
      <x:c r="U90" s="7">
        <x:v>1327.59</x:v>
      </x:c>
      <x:c r="V90" s="2" t="s">
        <x:v>28</x:v>
      </x:c>
      <x:c r="W90" s="2" t="s">
        <x:v>28</x:v>
      </x:c>
      <x:c r="X90" s="2" t="s">
        <x:v>28</x:v>
      </x:c>
      <x:c r="Y90" s="2" t="s">
        <x:v>28</x:v>
      </x:c>
      <x:c r="Z90" s="9" t="s">
        <x:v>227</x:v>
      </x:c>
      <x:c r="AA90" s="57" t="str">
        <x:v>Snapshot only — run GitHub workflow</x:v>
      </x:c>
      <x:c r="AB90" s="58" t="n">
        <x:f>IFERROR(H90/G90,"")</x:f>
        <x:v>1</x:v>
      </x:c>
      <x:c r="AC90" s="57" t="str"/>
      <x:c r="AD90" s="57" t="str"/>
      <x:c r="AE90" s="57" t="str"/>
      <x:c r="AF90" s="57" t="str"/>
      <x:c r="AG90" s="2"/>
      <x:c r="AH90" s="2"/>
    </x:row>
    <x:row r="91" ht="15.75" customHeight="1">
      <x:c r="A91" s="2" t="s">
        <x:v>230</x:v>
      </x:c>
      <x:c r="B91" s="2" t="s">
        <x:v>231</x:v>
      </x:c>
      <x:c r="C91" s="3" t="e">
        <x:f>HYPERLINK("https://scan.mypinata.cloud/ipfs/bafybeih3olry3is4e4lzm7rus5l3h6zrphcal5a7ayfkhzm5oivjro2cp4/#/address/0x8B8b26bB6C5fD4867339ab2f0acf3aE5129BD2F0", "0x8B8b26bB6C5fD4867339ab2f0acf3aE5129BD2F0")</x:f>
      </x:c>
      <x:c r="D91" s="4" t="str">
        <x:f t="shared" si="1"/>
        <x:v>Atropa Dev</x:v>
      </x:c>
      <x:c r="E91" s="4" t="e">
        <x:f>HYPERLINK("https://scan.mypinata.cloud/ipfs/bafybeih3olry3is4e4lzm7rus5l3h6zrphcal5a7ayfkhzm5oivjro2cp4/#/block/18413312", "18413312")</x:f>
      </x:c>
      <x:c r="F91" s="4" t="e">
        <x:f>HYPERLINK("https://scan.mypinata.cloud/ipfs/bafybeih3olry3is4e4lzm7rus5l3h6zrphcal5a7ayfkhzm5oivjro2cp4/#/tx/0x10176afad99a5914fcc9fd41f2a81f7afaf311c0bc3c844d52d9649c6aac3bb1", "2023-09-26 10:05:05")</x:f>
      </x:c>
      <x:c r="G91" s="5">
        <x:v>2.0</x:v>
      </x:c>
      <x:c r="H91" s="5">
        <x:v>2.0</x:v>
      </x:c>
      <x:c r="I91" s="5">
        <x:v>2.0</x:v>
      </x:c>
      <x:c r="J91" s="5">
        <x:v>0.0</x:v>
      </x:c>
      <x:c r="K91" s="5">
        <x:v>0.0</x:v>
      </x:c>
      <x:c r="L91" s="2" t="s">
        <x:v>28</x:v>
      </x:c>
      <x:c r="M91" s="2" t="s">
        <x:v>28</x:v>
      </x:c>
      <x:c r="N91" s="2" t="e">
        <x:f>IFERROR(__xludf.DUMMYFUNCTION("IF(ISDATE(TO_DATE(L91)), MAX(0, ROUND(TODAY() - TO_DATE(L91)), 0), ""-"")"),"-")</x:f>
      </x:c>
      <x:c r="O91" s="2" t="e">
        <x:f>IFERROR(__xludf.DUMMYFUNCTION("IF(ISDATE(TO_DATE(M91)), MAX(0, ROUND(TODAY() - TO_DATE(M91)), 0), ""-"")"),"-")</x:f>
      </x:c>
      <x:c r="P91" s="6">
        <x:v>38580.92</x:v>
      </x:c>
      <x:c r="Q91" s="6">
        <x:v>9.596731153757E8</x:v>
      </x:c>
      <x:c r="R91" s="7">
        <x:v>77161.84</x:v>
      </x:c>
      <x:c r="S91" s="7">
        <x:v>77162.0</x:v>
      </x:c>
      <x:c r="T91" s="7">
        <x:v>108.73</x:v>
      </x:c>
      <x:c r="U91" s="7">
        <x:v>12597.83</x:v>
      </x:c>
      <x:c r="V91" s="2" t="s">
        <x:v>28</x:v>
      </x:c>
      <x:c r="W91" s="2" t="s">
        <x:v>28</x:v>
      </x:c>
      <x:c r="X91" s="2" t="s">
        <x:v>28</x:v>
      </x:c>
      <x:c r="Y91" s="2" t="s">
        <x:v>28</x:v>
      </x:c>
      <x:c r="Z91" s="9" t="s">
        <x:v>227</x:v>
      </x:c>
      <x:c r="AA91" s="57" t="str">
        <x:v>Snapshot only — run GitHub workflow</x:v>
      </x:c>
      <x:c r="AB91" s="58" t="n">
        <x:f>IFERROR(H91/G91,"")</x:f>
        <x:v>1</x:v>
      </x:c>
      <x:c r="AC91" s="57" t="str"/>
      <x:c r="AD91" s="57" t="str"/>
      <x:c r="AE91" s="57" t="str"/>
      <x:c r="AF91" s="57" t="str"/>
      <x:c r="AG91" s="2"/>
      <x:c r="AH91" s="2"/>
    </x:row>
    <x:row r="92" ht="15.75" customHeight="1">
      <x:c r="A92" s="2" t="s">
        <x:v>232</x:v>
      </x:c>
      <x:c r="B92" s="2" t="s">
        <x:v>233</x:v>
      </x:c>
      <x:c r="C92" s="3" t="e">
        <x:f>HYPERLINK("https://scan.mypinata.cloud/ipfs/bafybeih3olry3is4e4lzm7rus5l3h6zrphcal5a7ayfkhzm5oivjro2cp4/#/address/0x32fe87852390332dAF169537f364F5642516DAad", "0x32fe87852390332dAF169537f364F5642516DAad")</x:f>
      </x:c>
      <x:c r="D92" s="4" t="str">
        <x:f t="shared" si="1"/>
        <x:v>Atropa Dev</x:v>
      </x:c>
      <x:c r="E92" s="4" t="e">
        <x:f>HYPERLINK("https://scan.mypinata.cloud/ipfs/bafybeih3olry3is4e4lzm7rus5l3h6zrphcal5a7ayfkhzm5oivjro2cp4/#/block/18417303", "18417303")</x:f>
      </x:c>
      <x:c r="F92" s="4" t="e">
        <x:f>HYPERLINK("https://scan.mypinata.cloud/ipfs/bafybeih3olry3is4e4lzm7rus5l3h6zrphcal5a7ayfkhzm5oivjro2cp4/#/tx/0x133b85420fb6229d3f0f196db20bd51a4037d91ea9fc5fde5a0601214ae501e4", "2023-09-26 21:20:45")</x:f>
      </x:c>
      <x:c r="G92" s="5">
        <x:v>557.266414</x:v>
      </x:c>
      <x:c r="H92" s="5">
        <x:v>557.266414</x:v>
      </x:c>
      <x:c r="I92" s="5">
        <x:v>557.266414</x:v>
      </x:c>
      <x:c r="J92" s="5">
        <x:v>0.0</x:v>
      </x:c>
      <x:c r="K92" s="5">
        <x:v>0.0</x:v>
      </x:c>
      <x:c r="L92" s="2" t="s">
        <x:v>28</x:v>
      </x:c>
      <x:c r="M92" s="2" t="s">
        <x:v>28</x:v>
      </x:c>
      <x:c r="N92" s="2" t="e">
        <x:f>IFERROR(__xludf.DUMMYFUNCTION("IF(ISDATE(TO_DATE(L92)), MAX(0, ROUND(TODAY() - TO_DATE(L92)), 0), ""-"")"),"-")</x:f>
      </x:c>
      <x:c r="O92" s="2" t="e">
        <x:f>IFERROR(__xludf.DUMMYFUNCTION("IF(ISDATE(TO_DATE(M92)), MAX(0, ROUND(TODAY() - TO_DATE(M92)), 0), ""-"")"),"-")</x:f>
      </x:c>
      <x:c r="P92" s="2" t="s">
        <x:v>28</x:v>
      </x:c>
      <x:c r="Q92" s="2" t="s">
        <x:v>28</x:v>
      </x:c>
      <x:c r="R92" s="2" t="s">
        <x:v>28</x:v>
      </x:c>
      <x:c r="S92" s="2" t="s">
        <x:v>28</x:v>
      </x:c>
      <x:c r="T92" s="7">
        <x:v>16.29</x:v>
      </x:c>
      <x:c r="U92" s="7">
        <x:v>4124.37</x:v>
      </x:c>
      <x:c r="V92" s="2" t="s">
        <x:v>28</x:v>
      </x:c>
      <x:c r="W92" s="2" t="s">
        <x:v>28</x:v>
      </x:c>
      <x:c r="X92" s="2" t="s">
        <x:v>28</x:v>
      </x:c>
      <x:c r="Y92" s="2" t="s">
        <x:v>28</x:v>
      </x:c>
      <x:c r="Z92" s="9" t="s">
        <x:v>211</x:v>
      </x:c>
      <x:c r="AA92" s="57" t="str">
        <x:v>Snapshot only — run GitHub workflow</x:v>
      </x:c>
      <x:c r="AB92" s="58" t="n">
        <x:f>IFERROR(H92/G92,"")</x:f>
        <x:v>1</x:v>
      </x:c>
      <x:c r="AC92" s="57" t="str"/>
      <x:c r="AD92" s="57" t="str"/>
      <x:c r="AE92" s="57" t="str"/>
      <x:c r="AF92" s="57" t="str"/>
      <x:c r="AG92" s="2"/>
      <x:c r="AH92" s="2"/>
    </x:row>
    <x:row r="93" ht="15.75" customHeight="1">
      <x:c r="A93" s="2" t="s">
        <x:v>234</x:v>
      </x:c>
      <x:c r="B93" s="2" t="s">
        <x:v>235</x:v>
      </x:c>
      <x:c r="C93" s="3" t="e">
        <x:f>HYPERLINK("https://scan.mypinata.cloud/ipfs/bafybeih3olry3is4e4lzm7rus5l3h6zrphcal5a7ayfkhzm5oivjro2cp4/#/address/0x583d1C1427308f7f96BFd3E0d7A3F9674D8BF8ec", "0x583d1C1427308f7f96BFd3E0d7A3F9674D8BF8ec")</x:f>
      </x:c>
      <x:c r="D93" s="4" t="str">
        <x:f t="shared" si="1"/>
        <x:v>Atropa Dev</x:v>
      </x:c>
      <x:c r="E93" s="4" t="e">
        <x:f>HYPERLINK("https://scan.mypinata.cloud/ipfs/bafybeih3olry3is4e4lzm7rus5l3h6zrphcal5a7ayfkhzm5oivjro2cp4/#/block/18418761", "18418761")</x:f>
      </x:c>
      <x:c r="F93" s="4" t="e">
        <x:f>HYPERLINK("https://scan.mypinata.cloud/ipfs/bafybeih3olry3is4e4lzm7rus5l3h6zrphcal5a7ayfkhzm5oivjro2cp4/#/tx/0xffd421a7c339f2da766ecf4676d34efb1ab40818d587e8d27052a7ad17845080", "2023-09-27 01:26:25")</x:f>
      </x:c>
      <x:c r="G93" s="5">
        <x:v>1.31212313E9</x:v>
      </x:c>
      <x:c r="H93" s="5">
        <x:v>1.31212313E9</x:v>
      </x:c>
      <x:c r="I93" s="5">
        <x:v>1.3121052414944923E9</x:v>
      </x:c>
      <x:c r="J93" s="5">
        <x:v>0.0</x:v>
      </x:c>
      <x:c r="K93" s="5">
        <x:v>17888.50550756301</x:v>
      </x:c>
      <x:c r="L93" s="2" t="s">
        <x:v>28</x:v>
      </x:c>
      <x:c r="M93" s="4" t="e">
        <x:f>HYPERLINK("https://scan.mypinata.cloud/ipfs/bafybeih3olry3is4e4lzm7rus5l3h6zrphcal5a7ayfkhzm5oivjro2cp4/#/tx/0x30475659ee9f3635075749c20b1d768772e461636690fe95dec778abb9fed033", "2025-02-04 22:33:25")</x:f>
      </x:c>
      <x:c r="N93" s="2" t="e">
        <x:f>IFERROR(__xludf.DUMMYFUNCTION("IF(ISDATE(TO_DATE(L93)), MAX(0, ROUND(TODAY() - TO_DATE(L93)), 0), ""-"")"),"-")</x:f>
      </x:c>
      <x:c r="O93" s="2" t="e">
        <x:f>IFERROR(__xludf.DUMMYFUNCTION("IF(ISDATE(TO_DATE(M93)), MAX(0, ROUND(TODAY() - TO_DATE(M93)), 0), ""-"")"),513.0)</x:f>
      </x:c>
      <x:c r="P93" s="6">
        <x:v>3.825E-4</x:v>
      </x:c>
      <x:c r="Q93" s="6">
        <x:v>9.6131</x:v>
      </x:c>
      <x:c r="R93" s="7">
        <x:v>501887.097225</x:v>
      </x:c>
      <x:c r="S93" s="7">
        <x:v>501996.0</x:v>
      </x:c>
      <x:c r="T93" s="7">
        <x:v>1666.47</x:v>
      </x:c>
      <x:c r="U93" s="7">
        <x:v>61186.81999999999</x:v>
      </x:c>
      <x:c r="V93" s="2" t="s">
        <x:v>28</x:v>
      </x:c>
      <x:c r="W93" s="2" t="s">
        <x:v>28</x:v>
      </x:c>
      <x:c r="X93" s="2" t="s">
        <x:v>28</x:v>
      </x:c>
      <x:c r="Y93" s="2" t="s">
        <x:v>28</x:v>
      </x:c>
      <x:c r="Z93" s="9" t="s">
        <x:v>227</x:v>
      </x:c>
      <x:c r="AA93" s="57" t="str">
        <x:v>Snapshot only — run GitHub workflow</x:v>
      </x:c>
      <x:c r="AB93" s="58" t="n">
        <x:f>IFERROR(H93/G93,"")</x:f>
        <x:v>1</x:v>
      </x:c>
      <x:c r="AC93" s="57" t="str"/>
      <x:c r="AD93" s="57" t="str"/>
      <x:c r="AE93" s="57" t="str"/>
      <x:c r="AF93" s="57" t="str"/>
      <x:c r="AG93" s="2"/>
      <x:c r="AH93" s="2"/>
    </x:row>
    <x:row r="94" ht="15.75" customHeight="1">
      <x:c r="A94" s="2" t="s">
        <x:v>236</x:v>
      </x:c>
      <x:c r="B94" s="11" t="s">
        <x:v>237</x:v>
      </x:c>
      <x:c r="C94" s="3" t="e">
        <x:f>HYPERLINK("https://scan.mypinata.cloud/ipfs/bafybeih3olry3is4e4lzm7rus5l3h6zrphcal5a7ayfkhzm5oivjro2cp4/#/address/0x51C36aA04ffC2139F6d34436d0EDC7f5ffc6D6Fb", "0x51C36aA04ffC2139F6d34436d0EDC7f5ffc6D6Fb")</x:f>
      </x:c>
      <x:c r="D94" s="4" t="str">
        <x:f t="shared" si="1"/>
        <x:v>Atropa Dev</x:v>
      </x:c>
      <x:c r="E94" s="4" t="e">
        <x:f>HYPERLINK("https://scan.mypinata.cloud/ipfs/bafybeih3olry3is4e4lzm7rus5l3h6zrphcal5a7ayfkhzm5oivjro2cp4/#/block/18431716", "18431716")</x:f>
      </x:c>
      <x:c r="F94" s="4" t="e">
        <x:f>HYPERLINK("https://scan.mypinata.cloud/ipfs/bafybeih3olry3is4e4lzm7rus5l3h6zrphcal5a7ayfkhzm5oivjro2cp4/#/tx/0xd4fb5af44f64be3143525c08bd519ec3bb08ea94db15904476801a6492a7e592", "2023-09-28 13:40:05")</x:f>
      </x:c>
      <x:c r="G94" s="5">
        <x:v>1.31212313E9</x:v>
      </x:c>
      <x:c r="H94" s="5">
        <x:v>1.31212313E9</x:v>
      </x:c>
      <x:c r="I94" s="5">
        <x:v>1.31212313E9</x:v>
      </x:c>
      <x:c r="J94" s="5">
        <x:v>0.0</x:v>
      </x:c>
      <x:c r="K94" s="5">
        <x:v>0.0</x:v>
      </x:c>
      <x:c r="L94" s="2" t="s">
        <x:v>28</x:v>
      </x:c>
      <x:c r="M94" s="2" t="s">
        <x:v>28</x:v>
      </x:c>
      <x:c r="N94" s="2" t="e">
        <x:f>IFERROR(__xludf.DUMMYFUNCTION("IF(ISDATE(TO_DATE(L94)), MAX(0, ROUND(TODAY() - TO_DATE(L94)), 0), ""-"")"),"-")</x:f>
      </x:c>
      <x:c r="O94" s="2" t="e">
        <x:f>IFERROR(__xludf.DUMMYFUNCTION("IF(ISDATE(TO_DATE(M94)), MAX(0, ROUND(TODAY() - TO_DATE(M94)), 0), ""-"")"),"-")</x:f>
      </x:c>
      <x:c r="P94" s="6">
        <x:v>6.255E-4</x:v>
      </x:c>
      <x:c r="Q94" s="6">
        <x:v>15.478</x:v>
      </x:c>
      <x:c r="R94" s="7">
        <x:v>820733.017815</x:v>
      </x:c>
      <x:c r="S94" s="7">
        <x:v>820757.0</x:v>
      </x:c>
      <x:c r="T94" s="7">
        <x:v>1261.8000000000002</x:v>
      </x:c>
      <x:c r="U94" s="7">
        <x:v>380873.92999999993</x:v>
      </x:c>
      <x:c r="V94" s="2" t="s">
        <x:v>28</x:v>
      </x:c>
      <x:c r="W94" s="2" t="s">
        <x:v>28</x:v>
      </x:c>
      <x:c r="X94" s="2" t="s">
        <x:v>28</x:v>
      </x:c>
      <x:c r="Y94" s="2" t="s">
        <x:v>28</x:v>
      </x:c>
      <x:c r="Z94" s="9" t="s">
        <x:v>238</x:v>
      </x:c>
      <x:c r="AA94" s="57" t="str">
        <x:v>Snapshot only — run GitHub workflow</x:v>
      </x:c>
      <x:c r="AB94" s="58" t="n">
        <x:f>IFERROR(H94/G94,"")</x:f>
        <x:v>1</x:v>
      </x:c>
      <x:c r="AC94" s="57" t="str"/>
      <x:c r="AD94" s="57" t="str"/>
      <x:c r="AE94" s="57" t="str"/>
      <x:c r="AF94" s="57" t="str"/>
      <x:c r="AG94" s="2"/>
      <x:c r="AH94" s="2"/>
    </x:row>
    <x:row r="95" ht="15.75" customHeight="1">
      <x:c r="A95" s="2" t="s">
        <x:v>239</x:v>
      </x:c>
      <x:c r="B95" s="2" t="s">
        <x:v>240</x:v>
      </x:c>
      <x:c r="C95" s="3" t="e">
        <x:f>HYPERLINK("https://scan.mypinata.cloud/ipfs/bafybeih3olry3is4e4lzm7rus5l3h6zrphcal5a7ayfkhzm5oivjro2cp4/#/address/0xF4C5daBC4fdC3cA74262a8155c2f92f8875ff0Fe", "0xF4C5daBC4fdC3cA74262a8155c2f92f8875ff0Fe")</x:f>
      </x:c>
      <x:c r="D95" s="4" t="str">
        <x:f t="shared" si="1"/>
        <x:v>Atropa Dev</x:v>
      </x:c>
      <x:c r="E95" s="4" t="e">
        <x:f>HYPERLINK("https://scan.mypinata.cloud/ipfs/bafybeih3olry3is4e4lzm7rus5l3h6zrphcal5a7ayfkhzm5oivjro2cp4/#/block/18432835", "18432835")</x:f>
      </x:c>
      <x:c r="F95" s="4" t="e">
        <x:f>HYPERLINK("https://scan.mypinata.cloud/ipfs/bafybeih3olry3is4e4lzm7rus5l3h6zrphcal5a7ayfkhzm5oivjro2cp4/#/tx/0xb651c9f438b97a453c9113c25f8e658f90222f3f73b825b17102dbd48f936967", "2023-09-28 16:47:25")</x:f>
      </x:c>
      <x:c r="G95" s="5">
        <x:v>1.31212313E9</x:v>
      </x:c>
      <x:c r="H95" s="5">
        <x:v>1.1433475798887035E7</x:v>
      </x:c>
      <x:c r="I95" s="5">
        <x:v>1.1433475798887035E7</x:v>
      </x:c>
      <x:c r="J95" s="5">
        <x:v>0.0</x:v>
      </x:c>
      <x:c r="K95" s="5">
        <x:v>1.300689654201113E9</x:v>
      </x:c>
      <x:c r="L95" s="2" t="s">
        <x:v>28</x:v>
      </x:c>
      <x:c r="M95" s="4" t="e">
        <x:f>HYPERLINK("https://scan.mypinata.cloud/ipfs/bafybeih3olry3is4e4lzm7rus5l3h6zrphcal5a7ayfkhzm5oivjro2cp4/#/tx/0x77d83b07aaac78ee54054c37c9ff82b5ec692b3414b30dcdcfeae348e183e875", "2024-08-22 18:58:05")</x:f>
      </x:c>
      <x:c r="N95" s="2" t="e">
        <x:f>IFERROR(__xludf.DUMMYFUNCTION("IF(ISDATE(TO_DATE(L95)), MAX(0, ROUND(TODAY() - TO_DATE(L95)), 0), ""-"")"),"-")</x:f>
      </x:c>
      <x:c r="O95" s="2" t="e">
        <x:f>IFERROR(__xludf.DUMMYFUNCTION("IF(ISDATE(TO_DATE(M95)), MAX(0, ROUND(TODAY() - TO_DATE(M95)), 0), ""-"")"),679.0)</x:f>
      </x:c>
      <x:c r="P95" s="2" t="s">
        <x:v>28</x:v>
      </x:c>
      <x:c r="Q95" s="2" t="s">
        <x:v>28</x:v>
      </x:c>
      <x:c r="R95" s="2" t="s">
        <x:v>28</x:v>
      </x:c>
      <x:c r="S95" s="2" t="s">
        <x:v>28</x:v>
      </x:c>
      <x:c r="T95" s="2" t="s">
        <x:v>28</x:v>
      </x:c>
      <x:c r="U95" s="2" t="s">
        <x:v>28</x:v>
      </x:c>
      <x:c r="V95" s="2" t="s">
        <x:v>28</x:v>
      </x:c>
      <x:c r="W95" s="2" t="s">
        <x:v>28</x:v>
      </x:c>
      <x:c r="X95" s="2" t="s">
        <x:v>28</x:v>
      </x:c>
      <x:c r="Y95" s="2" t="s">
        <x:v>28</x:v>
      </x:c>
      <x:c r="Z95" s="9" t="s">
        <x:v>238</x:v>
      </x:c>
      <x:c r="AA95" s="57" t="str">
        <x:v>Snapshot only — run GitHub workflow</x:v>
      </x:c>
      <x:c r="AB95" s="58" t="n">
        <x:f>IFERROR(H95/G95,"")</x:f>
        <x:v>0.008713721706046776</x:v>
      </x:c>
      <x:c r="AC95" s="57" t="str"/>
      <x:c r="AD95" s="57" t="str"/>
      <x:c r="AE95" s="57" t="str"/>
      <x:c r="AF95" s="57" t="str"/>
      <x:c r="AG95" s="2"/>
      <x:c r="AH95" s="2"/>
    </x:row>
    <x:row r="96" ht="15.75" customHeight="1">
      <x:c r="A96" s="2" t="s">
        <x:v>239</x:v>
      </x:c>
      <x:c r="B96" s="2" t="s">
        <x:v>241</x:v>
      </x:c>
      <x:c r="C96" s="3" t="e">
        <x:f>HYPERLINK("https://scan.mypinata.cloud/ipfs/bafybeih3olry3is4e4lzm7rus5l3h6zrphcal5a7ayfkhzm5oivjro2cp4/#/address/0x7c4A08584ca8d889e87fc93331224BCb7947fE0c", "0x7c4A08584ca8d889e87fc93331224BCb7947fE0c")</x:f>
      </x:c>
      <x:c r="D96" s="4" t="e">
        <x:f t="shared" ref="D96:D97" si="5">HYPERLINK("https://scan.mypinata.cloud/ipfs/bafybeih3olry3is4e4lzm7rus5l3h6zrphcal5a7ayfkhzm5oivjro2cp4/#/address/0x903030f7e2d6489F38B0f4F96F9b371ec7960F78", "Atropa Dev Alt")</x:f>
      </x:c>
      <x:c r="E96" s="4" t="e">
        <x:f>HYPERLINK("https://scan.mypinata.cloud/ipfs/bafybeih3olry3is4e4lzm7rus5l3h6zrphcal5a7ayfkhzm5oivjro2cp4/#/block/18433083", "18433083")</x:f>
      </x:c>
      <x:c r="F96" s="4" t="e">
        <x:f>HYPERLINK("https://scan.mypinata.cloud/ipfs/bafybeih3olry3is4e4lzm7rus5l3h6zrphcal5a7ayfkhzm5oivjro2cp4/#/tx/0x3e53e53e2d5fd6ca439d49d35c2f655bc2dff29aeceacf5968640508a44952f3", "2023-09-28 17:28:55")</x:f>
      </x:c>
      <x:c r="G96" s="5">
        <x:v>69.0</x:v>
      </x:c>
      <x:c r="H96" s="5">
        <x:v>69.0</x:v>
      </x:c>
      <x:c r="I96" s="5">
        <x:v>69.0</x:v>
      </x:c>
      <x:c r="J96" s="5">
        <x:v>0.0</x:v>
      </x:c>
      <x:c r="K96" s="5">
        <x:v>0.0</x:v>
      </x:c>
      <x:c r="L96" s="2" t="s">
        <x:v>28</x:v>
      </x:c>
      <x:c r="M96" s="2" t="s">
        <x:v>28</x:v>
      </x:c>
      <x:c r="N96" s="2" t="e">
        <x:f>IFERROR(__xludf.DUMMYFUNCTION("IF(ISDATE(TO_DATE(L96)), MAX(0, ROUND(TODAY() - TO_DATE(L96)), 0), ""-"")"),"-")</x:f>
      </x:c>
      <x:c r="O96" s="2" t="e">
        <x:f>IFERROR(__xludf.DUMMYFUNCTION("IF(ISDATE(TO_DATE(M96)), MAX(0, ROUND(TODAY() - TO_DATE(M96)), 0), ""-"")"),"-")</x:f>
      </x:c>
      <x:c r="P96" s="6">
        <x:v>109.83</x:v>
      </x:c>
      <x:c r="Q96" s="6">
        <x:v>2727791.8183</x:v>
      </x:c>
      <x:c r="R96" s="7">
        <x:v>7578.27</x:v>
      </x:c>
      <x:c r="S96" s="7">
        <x:v>7578.0</x:v>
      </x:c>
      <x:c r="T96" s="7">
        <x:v>12.57</x:v>
      </x:c>
      <x:c r="U96" s="7">
        <x:v>142.2</x:v>
      </x:c>
      <x:c r="V96" s="2" t="s">
        <x:v>28</x:v>
      </x:c>
      <x:c r="W96" s="2" t="s">
        <x:v>28</x:v>
      </x:c>
      <x:c r="X96" s="2" t="s">
        <x:v>28</x:v>
      </x:c>
      <x:c r="Y96" s="2" t="s">
        <x:v>28</x:v>
      </x:c>
      <x:c r="Z96" s="9" t="s">
        <x:v>242</x:v>
      </x:c>
      <x:c r="AA96" s="57" t="str">
        <x:v>Snapshot only — run GitHub workflow</x:v>
      </x:c>
      <x:c r="AB96" s="58" t="n">
        <x:f>IFERROR(H96/G96,"")</x:f>
        <x:v>1</x:v>
      </x:c>
      <x:c r="AC96" s="57" t="str"/>
      <x:c r="AD96" s="57" t="str"/>
      <x:c r="AE96" s="57" t="str"/>
      <x:c r="AF96" s="57" t="str"/>
      <x:c r="AG96" s="2"/>
      <x:c r="AH96" s="2"/>
    </x:row>
    <x:row r="97" ht="15.75" customHeight="1">
      <x:c r="A97" s="2" t="s">
        <x:v>239</x:v>
      </x:c>
      <x:c r="B97" s="2" t="s">
        <x:v>243</x:v>
      </x:c>
      <x:c r="C97" s="3" t="e">
        <x:f>HYPERLINK("https://scan.mypinata.cloud/ipfs/bafybeih3olry3is4e4lzm7rus5l3h6zrphcal5a7ayfkhzm5oivjro2cp4/#/address/0xCD775778F15FFf2fb43C0d8149cb888c099f0Ac1", "0xCD775778F15FFf2fb43C0d8149cb888c099f0Ac1")</x:f>
      </x:c>
      <x:c r="D97" s="4" t="str">
        <x:f t="shared" si="5"/>
        <x:v>Atropa Dev Alt</x:v>
      </x:c>
      <x:c r="E97" s="4" t="e">
        <x:f>HYPERLINK("https://scan.mypinata.cloud/ipfs/bafybeih3olry3is4e4lzm7rus5l3h6zrphcal5a7ayfkhzm5oivjro2cp4/#/block/18433353", "18433353")</x:f>
      </x:c>
      <x:c r="F97" s="4" t="e">
        <x:f>HYPERLINK("https://scan.mypinata.cloud/ipfs/bafybeih3olry3is4e4lzm7rus5l3h6zrphcal5a7ayfkhzm5oivjro2cp4/#/tx/0xbe1341f0185b1c1633cc30307dc1740cd555308e564b317fcd4a4d44e4bcc1b0", "2023-09-28 18:14:15")</x:f>
      </x:c>
      <x:c r="G97" s="5">
        <x:v>4.0</x:v>
      </x:c>
      <x:c r="H97" s="5">
        <x:v>4.0</x:v>
      </x:c>
      <x:c r="I97" s="5">
        <x:v>4.0</x:v>
      </x:c>
      <x:c r="J97" s="5">
        <x:v>0.0</x:v>
      </x:c>
      <x:c r="K97" s="5">
        <x:v>0.0</x:v>
      </x:c>
      <x:c r="L97" s="2" t="s">
        <x:v>28</x:v>
      </x:c>
      <x:c r="M97" s="2" t="s">
        <x:v>28</x:v>
      </x:c>
      <x:c r="N97" s="2" t="e">
        <x:f>IFERROR(__xludf.DUMMYFUNCTION("IF(ISDATE(TO_DATE(L97)), MAX(0, ROUND(TODAY() - TO_DATE(L97)), 0), ""-"")"),"-")</x:f>
      </x:c>
      <x:c r="O97" s="2" t="e">
        <x:f>IFERROR(__xludf.DUMMYFUNCTION("IF(ISDATE(TO_DATE(M97)), MAX(0, ROUND(TODAY() - TO_DATE(M97)), 0), ""-"")"),"-")</x:f>
      </x:c>
      <x:c r="P97" s="2" t="s">
        <x:v>28</x:v>
      </x:c>
      <x:c r="Q97" s="2" t="s">
        <x:v>28</x:v>
      </x:c>
      <x:c r="R97" s="2" t="s">
        <x:v>28</x:v>
      </x:c>
      <x:c r="S97" s="2" t="s">
        <x:v>28</x:v>
      </x:c>
      <x:c r="T97" s="2" t="s">
        <x:v>28</x:v>
      </x:c>
      <x:c r="U97" s="2" t="s">
        <x:v>28</x:v>
      </x:c>
      <x:c r="V97" s="2" t="s">
        <x:v>28</x:v>
      </x:c>
      <x:c r="W97" s="2" t="s">
        <x:v>28</x:v>
      </x:c>
      <x:c r="X97" s="2" t="s">
        <x:v>28</x:v>
      </x:c>
      <x:c r="Y97" s="2" t="s">
        <x:v>28</x:v>
      </x:c>
      <x:c r="Z97" s="9" t="s">
        <x:v>242</x:v>
      </x:c>
      <x:c r="AA97" s="57" t="str">
        <x:v>Snapshot only — run GitHub workflow</x:v>
      </x:c>
      <x:c r="AB97" s="58" t="n">
        <x:f>IFERROR(H97/G97,"")</x:f>
        <x:v>1</x:v>
      </x:c>
      <x:c r="AC97" s="57" t="str"/>
      <x:c r="AD97" s="57" t="str"/>
      <x:c r="AE97" s="57" t="str"/>
      <x:c r="AF97" s="57" t="str"/>
      <x:c r="AG97" s="2"/>
      <x:c r="AH97" s="2"/>
    </x:row>
    <x:row r="98" ht="15.75" customHeight="1">
      <x:c r="A98" s="2" t="s">
        <x:v>244</x:v>
      </x:c>
      <x:c r="B98" s="2" t="s">
        <x:v>245</x:v>
      </x:c>
      <x:c r="C98" s="3" t="e">
        <x:f>HYPERLINK("https://scan.mypinata.cloud/ipfs/bafybeih3olry3is4e4lzm7rus5l3h6zrphcal5a7ayfkhzm5oivjro2cp4/#/address/0x296E797F481C15d6FE138ceA09Bda3A1c2869216", "0x296E797F481C15d6FE138ceA09Bda3A1c2869216")</x:f>
      </x:c>
      <x:c r="D98" s="4" t="e">
        <x:f t="shared" ref="D98:D99" si="6">HYPERLINK("https://scan.mypinata.cloud/ipfs/bafybeih3olry3is4e4lzm7rus5l3h6zrphcal5a7ayfkhzm5oivjro2cp4/#/address/0x7a20189B297343CF26d8548764b04891f37F3414", "Atropa Dev")</x:f>
      </x:c>
      <x:c r="E98" s="4" t="e">
        <x:f>HYPERLINK("https://scan.mypinata.cloud/ipfs/bafybeih3olry3is4e4lzm7rus5l3h6zrphcal5a7ayfkhzm5oivjro2cp4/#/block/18433413", "18433413")</x:f>
      </x:c>
      <x:c r="F98" s="4" t="e">
        <x:f>HYPERLINK("https://scan.mypinata.cloud/ipfs/bafybeih3olry3is4e4lzm7rus5l3h6zrphcal5a7ayfkhzm5oivjro2cp4/#/tx/0x397ee29ba90fa7622b5e930dca42eb55557da392006d89f0fecbed9ede5fa2c6", "2023-09-28 18:24:15")</x:f>
      </x:c>
      <x:c r="G98" s="5">
        <x:v>1.111111111E9</x:v>
      </x:c>
      <x:c r="H98" s="5">
        <x:v>1653.0</x:v>
      </x:c>
      <x:c r="I98" s="5">
        <x:v>1653.0</x:v>
      </x:c>
      <x:c r="J98" s="5">
        <x:v>0.0</x:v>
      </x:c>
      <x:c r="K98" s="5">
        <x:v>1.111109458E9</x:v>
      </x:c>
      <x:c r="L98" s="2" t="s">
        <x:v>28</x:v>
      </x:c>
      <x:c r="M98" s="4" t="e">
        <x:f>HYPERLINK("https://scan.mypinata.cloud/ipfs/bafybeih3olry3is4e4lzm7rus5l3h6zrphcal5a7ayfkhzm5oivjro2cp4/#/tx/0xd6f440c392e517380f4a84c762d5c663d3e3eb96c6a8c51bc69ce559156fc586", "2024-12-09 02:45:35")</x:f>
      </x:c>
      <x:c r="N98" s="2" t="e">
        <x:f>IFERROR(__xludf.DUMMYFUNCTION("IF(ISDATE(TO_DATE(L98)), MAX(0, ROUND(TODAY() - TO_DATE(L98)), 0), ""-"")"),"-")</x:f>
      </x:c>
      <x:c r="O98" s="2" t="e">
        <x:f>IFERROR(__xludf.DUMMYFUNCTION("IF(ISDATE(TO_DATE(M98)), MAX(0, ROUND(TODAY() - TO_DATE(M98)), 0), ""-"")"),571.0)</x:f>
      </x:c>
      <x:c r="P98" s="6">
        <x:v>15.13</x:v>
      </x:c>
      <x:c r="Q98" s="6">
        <x:v>376323.3516</x:v>
      </x:c>
      <x:c r="R98" s="7">
        <x:v>25009.89</x:v>
      </x:c>
      <x:c r="S98" s="7">
        <x:v>25023.0</x:v>
      </x:c>
      <x:c r="T98" s="7">
        <x:v>9.809999999999999</x:v>
      </x:c>
      <x:c r="U98" s="7">
        <x:v>530.03</x:v>
      </x:c>
      <x:c r="V98" s="2" t="s">
        <x:v>28</x:v>
      </x:c>
      <x:c r="W98" s="2" t="s">
        <x:v>28</x:v>
      </x:c>
      <x:c r="X98" s="2" t="s">
        <x:v>28</x:v>
      </x:c>
      <x:c r="Y98" s="2" t="s">
        <x:v>28</x:v>
      </x:c>
      <x:c r="Z98" s="9" t="s">
        <x:v>211</x:v>
      </x:c>
      <x:c r="AA98" s="57" t="str">
        <x:v>Snapshot only — run GitHub workflow</x:v>
      </x:c>
      <x:c r="AB98" s="58" t="n">
        <x:f>IFERROR(H98/G98,"")</x:f>
        <x:v>0.00000148770000014877</x:v>
      </x:c>
      <x:c r="AC98" s="57" t="str"/>
      <x:c r="AD98" s="57" t="str"/>
      <x:c r="AE98" s="57" t="str"/>
      <x:c r="AF98" s="57" t="str"/>
      <x:c r="AG98" s="2"/>
      <x:c r="AH98" s="2"/>
    </x:row>
    <x:row r="99" ht="15.75" customHeight="1">
      <x:c r="A99" s="2" t="s">
        <x:v>239</x:v>
      </x:c>
      <x:c r="B99" s="2" t="s">
        <x:v>246</x:v>
      </x:c>
      <x:c r="C99" s="3" t="e">
        <x:f>HYPERLINK("https://scan.mypinata.cloud/ipfs/bafybeih3olry3is4e4lzm7rus5l3h6zrphcal5a7ayfkhzm5oivjro2cp4/#/address/0xd2d26E25Ab8753fF60fA430CF7B7D685752879be", "0xd2d26E25Ab8753fF60fA430CF7B7D685752879be")</x:f>
      </x:c>
      <x:c r="D99" s="4" t="str">
        <x:f t="shared" si="6"/>
        <x:v>Atropa Dev</x:v>
      </x:c>
      <x:c r="E99" s="4" t="e">
        <x:f>HYPERLINK("https://scan.mypinata.cloud/ipfs/bafybeih3olry3is4e4lzm7rus5l3h6zrphcal5a7ayfkhzm5oivjro2cp4/#/block/18433635", "18433635")</x:f>
      </x:c>
      <x:c r="F99" s="4" t="e">
        <x:f>HYPERLINK("https://scan.mypinata.cloud/ipfs/bafybeih3olry3is4e4lzm7rus5l3h6zrphcal5a7ayfkhzm5oivjro2cp4/#/tx/0x7e2c6ad54f1c4a22b6748226ca651b895320e24a2fda2a98740dbf0f2c76d2ff", "2023-09-28 19:01:15")</x:f>
      </x:c>
      <x:c r="G99" s="5">
        <x:v>1.0</x:v>
      </x:c>
      <x:c r="H99" s="5">
        <x:v>1.0</x:v>
      </x:c>
      <x:c r="I99" s="5">
        <x:v>1.0</x:v>
      </x:c>
      <x:c r="J99" s="5">
        <x:v>0.0</x:v>
      </x:c>
      <x:c r="K99" s="5">
        <x:v>0.0</x:v>
      </x:c>
      <x:c r="L99" s="2" t="s">
        <x:v>28</x:v>
      </x:c>
      <x:c r="M99" s="2" t="s">
        <x:v>28</x:v>
      </x:c>
      <x:c r="N99" s="2" t="e">
        <x:f>IFERROR(__xludf.DUMMYFUNCTION("IF(ISDATE(TO_DATE(L99)), MAX(0, ROUND(TODAY() - TO_DATE(L99)), 0), ""-"")"),"-")</x:f>
      </x:c>
      <x:c r="O99" s="2" t="e">
        <x:f>IFERROR(__xludf.DUMMYFUNCTION("IF(ISDATE(TO_DATE(M99)), MAX(0, ROUND(TODAY() - TO_DATE(M99)), 0), ""-"")"),"-")</x:f>
      </x:c>
      <x:c r="P99" s="2" t="s">
        <x:v>28</x:v>
      </x:c>
      <x:c r="Q99" s="2" t="s">
        <x:v>28</x:v>
      </x:c>
      <x:c r="R99" s="2" t="s">
        <x:v>28</x:v>
      </x:c>
      <x:c r="S99" s="2" t="s">
        <x:v>28</x:v>
      </x:c>
      <x:c r="T99" s="2" t="s">
        <x:v>28</x:v>
      </x:c>
      <x:c r="U99" s="2" t="s">
        <x:v>28</x:v>
      </x:c>
      <x:c r="V99" s="2" t="s">
        <x:v>28</x:v>
      </x:c>
      <x:c r="W99" s="2" t="s">
        <x:v>28</x:v>
      </x:c>
      <x:c r="X99" s="2" t="s">
        <x:v>28</x:v>
      </x:c>
      <x:c r="Y99" s="2" t="s">
        <x:v>28</x:v>
      </x:c>
      <x:c r="Z99" s="9" t="s">
        <x:v>247</x:v>
      </x:c>
      <x:c r="AA99" s="57" t="str">
        <x:v>Snapshot only — run GitHub workflow</x:v>
      </x:c>
      <x:c r="AB99" s="58" t="n">
        <x:f>IFERROR(H99/G99,"")</x:f>
        <x:v>1</x:v>
      </x:c>
      <x:c r="AC99" s="57" t="str"/>
      <x:c r="AD99" s="57" t="str"/>
      <x:c r="AE99" s="57" t="str"/>
      <x:c r="AF99" s="57" t="str"/>
      <x:c r="AG99" s="2"/>
      <x:c r="AH99" s="2"/>
    </x:row>
    <x:row r="100" ht="15.75" customHeight="1">
      <x:c r="A100" s="2" t="s">
        <x:v>239</x:v>
      </x:c>
      <x:c r="B100" s="2" t="s">
        <x:v>248</x:v>
      </x:c>
      <x:c r="C100" s="3" t="e">
        <x:f>HYPERLINK("https://scan.mypinata.cloud/ipfs/bafybeih3olry3is4e4lzm7rus5l3h6zrphcal5a7ayfkhzm5oivjro2cp4/#/address/0xF3352be5de1e6232755C7dbd15a84FC3614a419c", "0xF3352be5de1e6232755C7dbd15a84FC3614a419c")</x:f>
      </x:c>
      <x:c r="D100" s="4" t="e">
        <x:f>HYPERLINK("https://scan.mypinata.cloud/ipfs/bafybeih3olry3is4e4lzm7rus5l3h6zrphcal5a7ayfkhzm5oivjro2cp4/#/address/0x903030f7e2d6489F38B0f4F96F9b371ec7960F78", "Atropa Dev Alt")</x:f>
      </x:c>
      <x:c r="E100" s="4" t="e">
        <x:f>HYPERLINK("https://scan.mypinata.cloud/ipfs/bafybeih3olry3is4e4lzm7rus5l3h6zrphcal5a7ayfkhzm5oivjro2cp4/#/block/18433939", "18433939")</x:f>
      </x:c>
      <x:c r="F100" s="4" t="e">
        <x:f>HYPERLINK("https://scan.mypinata.cloud/ipfs/bafybeih3olry3is4e4lzm7rus5l3h6zrphcal5a7ayfkhzm5oivjro2cp4/#/tx/0xfa8588353a9806746498bb8b80aa2ea9c9d7e8617c779aaecf12abce25011867", "2023-09-28 19:51:55")</x:f>
      </x:c>
      <x:c r="G100" s="5">
        <x:v>100.0</x:v>
      </x:c>
      <x:c r="H100" s="5">
        <x:v>100.0</x:v>
      </x:c>
      <x:c r="I100" s="5">
        <x:v>100.0</x:v>
      </x:c>
      <x:c r="J100" s="5">
        <x:v>0.0</x:v>
      </x:c>
      <x:c r="K100" s="5">
        <x:v>0.0</x:v>
      </x:c>
      <x:c r="L100" s="2" t="s">
        <x:v>28</x:v>
      </x:c>
      <x:c r="M100" s="2" t="s">
        <x:v>28</x:v>
      </x:c>
      <x:c r="N100" s="2" t="e">
        <x:f>IFERROR(__xludf.DUMMYFUNCTION("IF(ISDATE(TO_DATE(L100)), MAX(0, ROUND(TODAY() - TO_DATE(L100)), 0), ""-"")"),"-")</x:f>
      </x:c>
      <x:c r="O100" s="2" t="e">
        <x:f>IFERROR(__xludf.DUMMYFUNCTION("IF(ISDATE(TO_DATE(M100)), MAX(0, ROUND(TODAY() - TO_DATE(M100)), 0), ""-"")"),"-")</x:f>
      </x:c>
      <x:c r="P100" s="2" t="s">
        <x:v>28</x:v>
      </x:c>
      <x:c r="Q100" s="2" t="s">
        <x:v>28</x:v>
      </x:c>
      <x:c r="R100" s="2" t="s">
        <x:v>28</x:v>
      </x:c>
      <x:c r="S100" s="2" t="s">
        <x:v>28</x:v>
      </x:c>
      <x:c r="T100" s="2" t="s">
        <x:v>28</x:v>
      </x:c>
      <x:c r="U100" s="2" t="s">
        <x:v>28</x:v>
      </x:c>
      <x:c r="V100" s="2" t="s">
        <x:v>28</x:v>
      </x:c>
      <x:c r="W100" s="2" t="s">
        <x:v>28</x:v>
      </x:c>
      <x:c r="X100" s="2" t="s">
        <x:v>28</x:v>
      </x:c>
      <x:c r="Y100" s="2" t="s">
        <x:v>28</x:v>
      </x:c>
      <x:c r="Z100" s="9" t="s">
        <x:v>242</x:v>
      </x:c>
      <x:c r="AA100" s="57" t="str">
        <x:v>Snapshot only — run GitHub workflow</x:v>
      </x:c>
      <x:c r="AB100" s="58" t="n">
        <x:f>IFERROR(H100/G100,"")</x:f>
        <x:v>1</x:v>
      </x:c>
      <x:c r="AC100" s="57" t="str"/>
      <x:c r="AD100" s="57" t="str"/>
      <x:c r="AE100" s="57" t="str"/>
      <x:c r="AF100" s="57" t="str"/>
      <x:c r="AG100" s="2"/>
      <x:c r="AH100" s="2"/>
    </x:row>
    <x:row r="101" ht="15.75" customHeight="1">
      <x:c r="A101" s="2" t="s">
        <x:v>249</x:v>
      </x:c>
      <x:c r="B101" s="2" t="s">
        <x:v>250</x:v>
      </x:c>
      <x:c r="C101" s="3" t="e">
        <x:f>HYPERLINK("https://scan.mypinata.cloud/ipfs/bafybeih3olry3is4e4lzm7rus5l3h6zrphcal5a7ayfkhzm5oivjro2cp4/#/address/0x53Ccc8D706b1D2add9058BC12FF0875f378Ee099", "0x53Ccc8D706b1D2add9058BC12FF0875f378Ee099")</x:f>
      </x:c>
      <x:c r="D101" s="4" t="e">
        <x:f t="shared" ref="D101:D104" si="7">HYPERLINK("https://scan.mypinata.cloud/ipfs/bafybeih3olry3is4e4lzm7rus5l3h6zrphcal5a7ayfkhzm5oivjro2cp4/#/address/0x7a20189B297343CF26d8548764b04891f37F3414", "Atropa Dev")</x:f>
      </x:c>
      <x:c r="E101" s="4" t="e">
        <x:f>HYPERLINK("https://scan.mypinata.cloud/ipfs/bafybeih3olry3is4e4lzm7rus5l3h6zrphcal5a7ayfkhzm5oivjro2cp4/#/block/18439148", "18439148")</x:f>
      </x:c>
      <x:c r="F101" s="4" t="e">
        <x:f>HYPERLINK("https://scan.mypinata.cloud/ipfs/bafybeih3olry3is4e4lzm7rus5l3h6zrphcal5a7ayfkhzm5oivjro2cp4/#/tx/0xa7ee8aeb3c1c0a858bdf0e60926cf1c5bb49db218b15b00a2f80a5f084f610af", "2023-09-29 10:23:35")</x:f>
      </x:c>
      <x:c r="G101" s="5">
        <x:v>5.789604461865809</x:v>
      </x:c>
      <x:c r="H101" s="5">
        <x:v>5.789604461865809</x:v>
      </x:c>
      <x:c r="I101" s="5">
        <x:v>0.0</x:v>
      </x:c>
      <x:c r="J101" s="5">
        <x:v>0.0</x:v>
      </x:c>
      <x:c r="K101" s="5">
        <x:v>5.789604461865809</x:v>
      </x:c>
      <x:c r="L101" s="2" t="s">
        <x:v>28</x:v>
      </x:c>
      <x:c r="M101" s="4" t="e">
        <x:f>HYPERLINK("https://scan.mypinata.cloud/ipfs/bafybeih3olry3is4e4lzm7rus5l3h6zrphcal5a7ayfkhzm5oivjro2cp4/#/tx/0x846b4f7fb9122201f87a3bfe42a844ab5c878b03bfd5f7cda8d32db455edf4b0", "2023-09-29 10:27:25")</x:f>
      </x:c>
      <x:c r="N101" s="2" t="e">
        <x:f>IFERROR(__xludf.DUMMYFUNCTION("IF(ISDATE(TO_DATE(L101)), MAX(0, ROUND(TODAY() - TO_DATE(L101)), 0), ""-"")"),"-")</x:f>
      </x:c>
      <x:c r="O101" s="2" t="e">
        <x:f>IFERROR(__xludf.DUMMYFUNCTION("IF(ISDATE(TO_DATE(M101)), MAX(0, ROUND(TODAY() - TO_DATE(M101)), 0), ""-"")"),1008.0)</x:f>
      </x:c>
      <x:c r="P101" s="2" t="s">
        <x:v>28</x:v>
      </x:c>
      <x:c r="Q101" s="2" t="s">
        <x:v>28</x:v>
      </x:c>
      <x:c r="R101" s="2" t="s">
        <x:v>28</x:v>
      </x:c>
      <x:c r="S101" s="2" t="s">
        <x:v>28</x:v>
      </x:c>
      <x:c r="T101" s="2" t="s">
        <x:v>28</x:v>
      </x:c>
      <x:c r="U101" s="2" t="s">
        <x:v>28</x:v>
      </x:c>
      <x:c r="V101" s="2" t="s">
        <x:v>28</x:v>
      </x:c>
      <x:c r="W101" s="2" t="s">
        <x:v>28</x:v>
      </x:c>
      <x:c r="X101" s="2" t="s">
        <x:v>28</x:v>
      </x:c>
      <x:c r="Y101" s="2" t="s">
        <x:v>28</x:v>
      </x:c>
      <x:c r="Z101" s="9" t="s">
        <x:v>238</x:v>
      </x:c>
      <x:c r="AA101" s="57" t="str">
        <x:v>Snapshot only — run GitHub workflow</x:v>
      </x:c>
      <x:c r="AB101" s="58" t="n">
        <x:f>IFERROR(H101/G101,"")</x:f>
        <x:v>1</x:v>
      </x:c>
      <x:c r="AC101" s="57" t="str"/>
      <x:c r="AD101" s="57" t="str"/>
      <x:c r="AE101" s="57" t="str"/>
      <x:c r="AF101" s="57" t="str"/>
      <x:c r="AG101" s="2"/>
      <x:c r="AH101" s="2"/>
    </x:row>
    <x:row r="102" ht="15.75" customHeight="1">
      <x:c r="A102" s="2" t="s">
        <x:v>249</x:v>
      </x:c>
      <x:c r="B102" s="2" t="s">
        <x:v>250</x:v>
      </x:c>
      <x:c r="C102" s="3" t="e">
        <x:f>HYPERLINK("https://scan.mypinata.cloud/ipfs/bafybeih3olry3is4e4lzm7rus5l3h6zrphcal5a7ayfkhzm5oivjro2cp4/#/address/0xeE67825eF27588FAeE39cfefb465eB0A242A740c", "0xeE67825eF27588FAeE39cfefb465eB0A242A740c")</x:f>
      </x:c>
      <x:c r="D102" s="4" t="str">
        <x:f t="shared" si="7"/>
        <x:v>Atropa Dev</x:v>
      </x:c>
      <x:c r="E102" s="4" t="e">
        <x:f>HYPERLINK("https://scan.mypinata.cloud/ipfs/bafybeih3olry3is4e4lzm7rus5l3h6zrphcal5a7ayfkhzm5oivjro2cp4/#/block/18439180", "18439180")</x:f>
      </x:c>
      <x:c r="F102" s="4" t="e">
        <x:f>HYPERLINK("https://scan.mypinata.cloud/ipfs/bafybeih3olry3is4e4lzm7rus5l3h6zrphcal5a7ayfkhzm5oivjro2cp4/#/tx/0x0f961eca6be5ee1b24a4b17cac2c0b8e8094978aef1e956ae55a2f0249b79339", "2023-09-29 10:28:55")</x:f>
      </x:c>
      <x:c r="G102" s="5">
        <x:v>3.618502788666131</x:v>
      </x:c>
      <x:c r="H102" s="5">
        <x:v>7.2063554613057E14</x:v>
      </x:c>
      <x:c r="I102" s="5">
        <x:v>0.0</x:v>
      </x:c>
      <x:c r="J102" s="5">
        <x:v>2725943.0</x:v>
      </x:c>
      <x:c r="K102" s="5">
        <x:v>3.618502788666131</x:v>
      </x:c>
      <x:c r="L102" s="4" t="e">
        <x:f>HYPERLINK("https://scan.mypinata.cloud/ipfs/bafybeih3olry3is4e4lzm7rus5l3h6zrphcal5a7ayfkhzm5oivjro2cp4/#/tx/0xc38951eb9f74e7f6e8a288c381ad028343f05b289cb661bb8fe47f320bb79c51", "2024-09-07 20:31:25")</x:f>
      </x:c>
      <x:c r="M102" s="4" t="e">
        <x:f>HYPERLINK("https://scan.mypinata.cloud/ipfs/bafybeih3olry3is4e4lzm7rus5l3h6zrphcal5a7ayfkhzm5oivjro2cp4/#/tx/0xac1dc95a1db6109008d18a33cb47763e453092f9f4095737c56f0973e0f46e3d", "2025-02-26 02:18:25")</x:f>
      </x:c>
      <x:c r="N102" s="2" t="e">
        <x:f>IFERROR(__xludf.DUMMYFUNCTION("IF(ISDATE(TO_DATE(L102)), MAX(0, ROUND(TODAY() - TO_DATE(L102)), 0), ""-"")"),663.0)</x:f>
      </x:c>
      <x:c r="O102" s="2" t="e">
        <x:f>IFERROR(__xludf.DUMMYFUNCTION("IF(ISDATE(TO_DATE(M102)), MAX(0, ROUND(TODAY() - TO_DATE(M102)), 0), ""-"")"),492.0)</x:f>
      </x:c>
      <x:c r="P102" s="6">
        <x:v>1.737E-6</x:v>
      </x:c>
      <x:c r="Q102" s="6">
        <x:v>0.04364</x:v>
      </x:c>
      <x:c r="R102" s="7">
        <x:v>1.2517439436288002E9</x:v>
      </x:c>
      <x:c r="S102" s="7">
        <x:v>1.252094044E9</x:v>
      </x:c>
      <x:c r="T102" s="7">
        <x:v>1051.5500000000002</x:v>
      </x:c>
      <x:c r="U102" s="7">
        <x:v>55364.58</x:v>
      </x:c>
      <x:c r="V102" s="2" t="s">
        <x:v>28</x:v>
      </x:c>
      <x:c r="W102" s="2" t="s">
        <x:v>28</x:v>
      </x:c>
      <x:c r="X102" s="2" t="s">
        <x:v>28</x:v>
      </x:c>
      <x:c r="Y102" s="2" t="s">
        <x:v>28</x:v>
      </x:c>
      <x:c r="Z102" s="9" t="s">
        <x:v>219</x:v>
      </x:c>
      <x:c r="AA102" s="57" t="str">
        <x:v>Snapshot only — run GitHub workflow</x:v>
      </x:c>
      <x:c r="AB102" s="58" t="n">
        <x:f>IFERROR(H102/G102,"")</x:f>
        <x:v>199152961381636.5</x:v>
      </x:c>
      <x:c r="AC102" s="57" t="str"/>
      <x:c r="AD102" s="57" t="str"/>
      <x:c r="AE102" s="57" t="str"/>
      <x:c r="AF102" s="57" t="str"/>
      <x:c r="AG102" s="2"/>
      <x:c r="AH102" s="2"/>
    </x:row>
    <x:row r="103" ht="15.75" customHeight="1">
      <x:c r="A103" s="2" t="s">
        <x:v>251</x:v>
      </x:c>
      <x:c r="B103" s="2" t="s">
        <x:v>252</x:v>
      </x:c>
      <x:c r="C103" s="3" t="e">
        <x:f>HYPERLINK("https://scan.mypinata.cloud/ipfs/bafybeih3olry3is4e4lzm7rus5l3h6zrphcal5a7ayfkhzm5oivjro2cp4/#/address/0x48F628c079353ECC4DB75F0d05de9299e083f3C2", "0x48F628c079353ECC4DB75F0d05de9299e083f3C2")</x:f>
      </x:c>
      <x:c r="D103" s="4" t="str">
        <x:f t="shared" si="7"/>
        <x:v>Atropa Dev</x:v>
      </x:c>
      <x:c r="E103" s="4" t="e">
        <x:f>HYPERLINK("https://scan.mypinata.cloud/ipfs/bafybeih3olry3is4e4lzm7rus5l3h6zrphcal5a7ayfkhzm5oivjro2cp4/#/block/18440531", "18440531")</x:f>
      </x:c>
      <x:c r="F103" s="4" t="e">
        <x:f>HYPERLINK("https://scan.mypinata.cloud/ipfs/bafybeih3olry3is4e4lzm7rus5l3h6zrphcal5a7ayfkhzm5oivjro2cp4/#/tx/0xd38a73caca6a92a4982f7510ec368b000bbdea449bb9b717ffcb393fc4306ea9", "2023-09-29 14:14:55")</x:f>
      </x:c>
      <x:c r="G103" s="5">
        <x:v>9.53467954114363E14</x:v>
      </x:c>
      <x:c r="H103" s="5">
        <x:v>7.169148336916321E14</x:v>
      </x:c>
      <x:c r="I103" s="5">
        <x:v>7.096717142523088E14</x:v>
      </x:c>
      <x:c r="J103" s="5">
        <x:v>587957.0</x:v>
      </x:c>
      <x:c r="K103" s="5">
        <x:v>2.4379624045001125E14</x:v>
      </x:c>
      <x:c r="L103" s="4" t="e">
        <x:f>HYPERLINK("https://scan.mypinata.cloud/ipfs/bafybeih3olry3is4e4lzm7rus5l3h6zrphcal5a7ayfkhzm5oivjro2cp4/#/tx/0x31c2fee5ab37b6835538e72f5862691fbe17007700905f7d9a2cd0b1a2f3073a", "2024-12-11 18:16:35")</x:f>
      </x:c>
      <x:c r="M103" s="4" t="e">
        <x:f>HYPERLINK("https://scan.mypinata.cloud/ipfs/bafybeih3olry3is4e4lzm7rus5l3h6zrphcal5a7ayfkhzm5oivjro2cp4/#/tx/0x55d1d02fdf30d0d2adffb9007e5078b65fce185366501d13dccf81dc2e021b57", "2024-12-17 16:29:35")</x:f>
      </x:c>
      <x:c r="N103" s="2" t="e">
        <x:f>IFERROR(__xludf.DUMMYFUNCTION("IF(ISDATE(TO_DATE(L103)), MAX(0, ROUND(TODAY() - TO_DATE(L103)), 0), ""-"")"),568.0)</x:f>
      </x:c>
      <x:c r="O103" s="2" t="e">
        <x:f>IFERROR(__xludf.DUMMYFUNCTION("IF(ISDATE(TO_DATE(M103)), MAX(0, ROUND(TODAY() - TO_DATE(M103)), 0), ""-"")"),562.0)</x:f>
      </x:c>
      <x:c r="P103" s="6">
        <x:v>1.799E-6</x:v>
      </x:c>
      <x:c r="Q103" s="6">
        <x:v>0.04518</x:v>
      </x:c>
      <x:c r="R103" s="7">
        <x:v>1.2897297858112464E9</x:v>
      </x:c>
      <x:c r="S103" s="7">
        <x:v>1.276725815E9</x:v>
      </x:c>
      <x:c r="T103" s="7">
        <x:v>163.74</x:v>
      </x:c>
      <x:c r="U103" s="7">
        <x:v>11485.18</x:v>
      </x:c>
      <x:c r="V103" s="2" t="s">
        <x:v>28</x:v>
      </x:c>
      <x:c r="W103" s="2" t="s">
        <x:v>28</x:v>
      </x:c>
      <x:c r="X103" s="2" t="s">
        <x:v>28</x:v>
      </x:c>
      <x:c r="Y103" s="2" t="s">
        <x:v>28</x:v>
      </x:c>
      <x:c r="Z103" s="9" t="s">
        <x:v>238</x:v>
      </x:c>
      <x:c r="AA103" s="57" t="str">
        <x:v>Snapshot only — run GitHub workflow</x:v>
      </x:c>
      <x:c r="AB103" s="58" t="n">
        <x:f>IFERROR(H103/G103,"")</x:f>
        <x:v>0.7519023902146189</x:v>
      </x:c>
      <x:c r="AC103" s="57" t="str"/>
      <x:c r="AD103" s="57" t="str"/>
      <x:c r="AE103" s="57" t="str"/>
      <x:c r="AF103" s="57" t="str"/>
      <x:c r="AG103" s="2"/>
      <x:c r="AH103" s="2"/>
    </x:row>
    <x:row r="104" ht="15.75" customHeight="1">
      <x:c r="A104" s="2" t="s">
        <x:v>253</x:v>
      </x:c>
      <x:c r="B104" s="11" t="s">
        <x:v>254</x:v>
      </x:c>
      <x:c r="C104" s="3" t="e">
        <x:f>HYPERLINK("https://scan.mypinata.cloud/ipfs/bafybeih3olry3is4e4lzm7rus5l3h6zrphcal5a7ayfkhzm5oivjro2cp4/#/address/0x72f96a39AC9408b5458E5597BBC22060552dedF4", "0x72f96a39AC9408b5458E5597BBC22060552dedF4")</x:f>
      </x:c>
      <x:c r="D104" s="4" t="str">
        <x:f t="shared" si="7"/>
        <x:v>Atropa Dev</x:v>
      </x:c>
      <x:c r="E104" s="4" t="e">
        <x:f>HYPERLINK("https://scan.mypinata.cloud/ipfs/bafybeih3olry3is4e4lzm7rus5l3h6zrphcal5a7ayfkhzm5oivjro2cp4/#/block/18456006", "18456006")</x:f>
      </x:c>
      <x:c r="F104" s="4" t="e">
        <x:f>HYPERLINK("https://scan.mypinata.cloud/ipfs/bafybeih3olry3is4e4lzm7rus5l3h6zrphcal5a7ayfkhzm5oivjro2cp4/#/tx/0xb0c29654b6742923db92fd04e9dd4079037a17ec6e6ce26c0a74e263620890e0", "2023-10-01 09:40:05")</x:f>
      </x:c>
      <x:c r="G104" s="5">
        <x:v>5000000.0</x:v>
      </x:c>
      <x:c r="H104" s="5">
        <x:v>5000000.0</x:v>
      </x:c>
      <x:c r="I104" s="5">
        <x:v>5000000.0</x:v>
      </x:c>
      <x:c r="J104" s="5">
        <x:v>0.0</x:v>
      </x:c>
      <x:c r="K104" s="5">
        <x:v>0.0</x:v>
      </x:c>
      <x:c r="L104" s="2" t="s">
        <x:v>28</x:v>
      </x:c>
      <x:c r="M104" s="2" t="s">
        <x:v>28</x:v>
      </x:c>
      <x:c r="N104" s="2" t="e">
        <x:f>IFERROR(__xludf.DUMMYFUNCTION("IF(ISDATE(TO_DATE(L104)), MAX(0, ROUND(TODAY() - TO_DATE(L104)), 0), ""-"")"),"-")</x:f>
      </x:c>
      <x:c r="O104" s="2" t="e">
        <x:f>IFERROR(__xludf.DUMMYFUNCTION("IF(ISDATE(TO_DATE(M104)), MAX(0, ROUND(TODAY() - TO_DATE(M104)), 0), ""-"")"),"-")</x:f>
      </x:c>
      <x:c r="P104" s="6">
        <x:v>0.3687</x:v>
      </x:c>
      <x:c r="Q104" s="6">
        <x:v>9345.7172</x:v>
      </x:c>
      <x:c r="R104" s="7">
        <x:v>1843500.0</x:v>
      </x:c>
      <x:c r="S104" s="7">
        <x:v>1843568.0</x:v>
      </x:c>
      <x:c r="T104" s="7">
        <x:v>11362.369999999999</x:v>
      </x:c>
      <x:c r="U104" s="7">
        <x:v>2053135.4600000002</x:v>
      </x:c>
      <x:c r="V104" s="2" t="s">
        <x:v>28</x:v>
      </x:c>
      <x:c r="W104" s="2" t="s">
        <x:v>28</x:v>
      </x:c>
      <x:c r="X104" s="2" t="s">
        <x:v>28</x:v>
      </x:c>
      <x:c r="Y104" s="2" t="s">
        <x:v>28</x:v>
      </x:c>
      <x:c r="Z104" s="9" t="s">
        <x:v>255</x:v>
      </x:c>
      <x:c r="AA104" s="57" t="str">
        <x:v>Snapshot only — run GitHub workflow</x:v>
      </x:c>
      <x:c r="AB104" s="58" t="n">
        <x:f>IFERROR(H104/G104,"")</x:f>
        <x:v>1</x:v>
      </x:c>
      <x:c r="AC104" s="57" t="str"/>
      <x:c r="AD104" s="57" t="str"/>
      <x:c r="AE104" s="57" t="str"/>
      <x:c r="AF104" s="57" t="str"/>
      <x:c r="AG104" s="2"/>
      <x:c r="AH104" s="2"/>
    </x:row>
    <x:row r="105" ht="15.75" customHeight="1">
      <x:c r="A105" s="11" t="s">
        <x:v>256</x:v>
      </x:c>
      <x:c r="B105" s="11" t="s">
        <x:v>257</x:v>
      </x:c>
      <x:c r="C105" s="3" t="e">
        <x:f>HYPERLINK("https://scan.mypinata.cloud/ipfs/bafybeih3olry3is4e4lzm7rus5l3h6zrphcal5a7ayfkhzm5oivjro2cp4/#/address/0x4a458D04909a42F79d31805762B2abc38ab9407d", "0x4a458D04909a42F79d31805762B2abc38ab9407d")</x:f>
      </x:c>
      <x:c r="D105" s="4" t="e">
        <x:f t="shared" ref="D105:D106" si="8">HYPERLINK("https://scan.mypinata.cloud/ipfs/bafybeih3olry3is4e4lzm7rus5l3h6zrphcal5a7ayfkhzm5oivjro2cp4/#/address/0x903030f7e2d6489F38B0f4F96F9b371ec7960F78", "Atropa Dev Alt")</x:f>
      </x:c>
      <x:c r="E105" s="4" t="e">
        <x:f>HYPERLINK("https://scan.mypinata.cloud/ipfs/bafybeih3olry3is4e4lzm7rus5l3h6zrphcal5a7ayfkhzm5oivjro2cp4/#/block/18457495", "18457495")</x:f>
      </x:c>
      <x:c r="F105" s="4" t="e">
        <x:f>HYPERLINK("https://scan.mypinata.cloud/ipfs/bafybeih3olry3is4e4lzm7rus5l3h6zrphcal5a7ayfkhzm5oivjro2cp4/#/tx/0x6922ef14af314a727f4b2a51a263510a441a2371291a8e05008e2ec032a525eb", "2023-10-01 13:49:45")</x:f>
      </x:c>
      <x:c r="G105" s="5">
        <x:v>530.0</x:v>
      </x:c>
      <x:c r="H105" s="5">
        <x:v>530.0</x:v>
      </x:c>
      <x:c r="I105" s="5">
        <x:v>530.0</x:v>
      </x:c>
      <x:c r="J105" s="5">
        <x:v>0.0</x:v>
      </x:c>
      <x:c r="K105" s="5">
        <x:v>0.0</x:v>
      </x:c>
      <x:c r="L105" s="2" t="s">
        <x:v>28</x:v>
      </x:c>
      <x:c r="M105" s="2" t="s">
        <x:v>28</x:v>
      </x:c>
      <x:c r="N105" s="2" t="e">
        <x:f>IFERROR(__xludf.DUMMYFUNCTION("IF(ISDATE(TO_DATE(L105)), MAX(0, ROUND(TODAY() - TO_DATE(L105)), 0), ""-"")"),"-")</x:f>
      </x:c>
      <x:c r="O105" s="2" t="e">
        <x:f>IFERROR(__xludf.DUMMYFUNCTION("IF(ISDATE(TO_DATE(M105)), MAX(0, ROUND(TODAY() - TO_DATE(M105)), 0), ""-"")"),"-")</x:f>
      </x:c>
      <x:c r="P105" s="2" t="s">
        <x:v>28</x:v>
      </x:c>
      <x:c r="Q105" s="2" t="s">
        <x:v>28</x:v>
      </x:c>
      <x:c r="R105" s="2" t="s">
        <x:v>28</x:v>
      </x:c>
      <x:c r="S105" s="2" t="s">
        <x:v>28</x:v>
      </x:c>
      <x:c r="T105" s="7">
        <x:v>2122.7799999999997</x:v>
      </x:c>
      <x:c r="U105" s="7">
        <x:v>1843835.5899999999</x:v>
      </x:c>
      <x:c r="V105" s="2" t="s">
        <x:v>28</x:v>
      </x:c>
      <x:c r="W105" s="2" t="s">
        <x:v>28</x:v>
      </x:c>
      <x:c r="X105" s="2" t="s">
        <x:v>28</x:v>
      </x:c>
      <x:c r="Y105" s="2" t="s">
        <x:v>28</x:v>
      </x:c>
      <x:c r="Z105" s="9" t="s">
        <x:v>258</x:v>
      </x:c>
      <x:c r="AA105" s="57" t="str">
        <x:v>Snapshot only — run GitHub workflow</x:v>
      </x:c>
      <x:c r="AB105" s="58" t="n">
        <x:f>IFERROR(H105/G105,"")</x:f>
        <x:v>1</x:v>
      </x:c>
      <x:c r="AC105" s="57" t="str"/>
      <x:c r="AD105" s="57" t="str"/>
      <x:c r="AE105" s="57" t="str"/>
      <x:c r="AF105" s="57" t="str"/>
      <x:c r="AG105" s="2"/>
      <x:c r="AH105" s="2"/>
    </x:row>
    <x:row r="106" ht="15.75" customHeight="1">
      <x:c r="A106" s="11" t="s">
        <x:v>259</x:v>
      </x:c>
      <x:c r="B106" s="11" t="s">
        <x:v>260</x:v>
      </x:c>
      <x:c r="C106" s="3" t="e">
        <x:f>HYPERLINK("https://scan.mypinata.cloud/ipfs/bafybeih3olry3is4e4lzm7rus5l3h6zrphcal5a7ayfkhzm5oivjro2cp4/#/address/0x89E8cD6306AbbAB8e39eeD0D53566d8dC2E02c01", "0x89E8cD6306AbbAB8e39eeD0D53566d8dC2E02c01")</x:f>
      </x:c>
      <x:c r="D106" s="4" t="str">
        <x:f t="shared" si="8"/>
        <x:v>Atropa Dev Alt</x:v>
      </x:c>
      <x:c r="E106" s="4" t="e">
        <x:f>HYPERLINK("https://scan.mypinata.cloud/ipfs/bafybeih3olry3is4e4lzm7rus5l3h6zrphcal5a7ayfkhzm5oivjro2cp4/#/block/18457542", "18457542")</x:f>
      </x:c>
      <x:c r="F106" s="4" t="e">
        <x:f>HYPERLINK("https://scan.mypinata.cloud/ipfs/bafybeih3olry3is4e4lzm7rus5l3h6zrphcal5a7ayfkhzm5oivjro2cp4/#/tx/0x565d6b801c1c56130beb62028743088b92c6c81c5824af8faa15d76f85e4b111", "2023-10-01 13:57:35")</x:f>
      </x:c>
      <x:c r="G106" s="5">
        <x:v>999.0</x:v>
      </x:c>
      <x:c r="H106" s="5">
        <x:v>999.0</x:v>
      </x:c>
      <x:c r="I106" s="5">
        <x:v>999.0</x:v>
      </x:c>
      <x:c r="J106" s="5">
        <x:v>0.0</x:v>
      </x:c>
      <x:c r="K106" s="5">
        <x:v>0.0</x:v>
      </x:c>
      <x:c r="L106" s="2" t="s">
        <x:v>28</x:v>
      </x:c>
      <x:c r="M106" s="2" t="s">
        <x:v>28</x:v>
      </x:c>
      <x:c r="N106" s="2" t="e">
        <x:f>IFERROR(__xludf.DUMMYFUNCTION("IF(ISDATE(TO_DATE(L106)), MAX(0, ROUND(TODAY() - TO_DATE(L106)), 0), ""-"")"),"-")</x:f>
      </x:c>
      <x:c r="O106" s="2" t="e">
        <x:f>IFERROR(__xludf.DUMMYFUNCTION("IF(ISDATE(TO_DATE(M106)), MAX(0, ROUND(TODAY() - TO_DATE(M106)), 0), ""-"")"),"-")</x:f>
      </x:c>
      <x:c r="P106" s="2" t="s">
        <x:v>28</x:v>
      </x:c>
      <x:c r="Q106" s="2" t="s">
        <x:v>28</x:v>
      </x:c>
      <x:c r="R106" s="2" t="s">
        <x:v>28</x:v>
      </x:c>
      <x:c r="S106" s="2" t="s">
        <x:v>28</x:v>
      </x:c>
      <x:c r="T106" s="7">
        <x:v>129.69</x:v>
      </x:c>
      <x:c r="U106" s="7">
        <x:v>13956.15</x:v>
      </x:c>
      <x:c r="V106" s="2" t="s">
        <x:v>28</x:v>
      </x:c>
      <x:c r="W106" s="2" t="s">
        <x:v>28</x:v>
      </x:c>
      <x:c r="X106" s="2" t="s">
        <x:v>28</x:v>
      </x:c>
      <x:c r="Y106" s="2" t="s">
        <x:v>28</x:v>
      </x:c>
      <x:c r="Z106" s="9" t="s">
        <x:v>261</x:v>
      </x:c>
      <x:c r="AA106" s="57" t="str">
        <x:v>Snapshot only — run GitHub workflow</x:v>
      </x:c>
      <x:c r="AB106" s="58" t="n">
        <x:f>IFERROR(H106/G106,"")</x:f>
        <x:v>1</x:v>
      </x:c>
      <x:c r="AC106" s="57" t="str"/>
      <x:c r="AD106" s="57" t="str"/>
      <x:c r="AE106" s="57" t="str"/>
      <x:c r="AF106" s="57" t="str"/>
      <x:c r="AG106" s="2"/>
      <x:c r="AH106" s="2"/>
    </x:row>
    <x:row r="107" ht="15.75" customHeight="1">
      <x:c r="A107" s="2" t="s">
        <x:v>262</x:v>
      </x:c>
      <x:c r="B107" s="2" t="s">
        <x:v>263</x:v>
      </x:c>
      <x:c r="C107" s="3" t="e">
        <x:f>HYPERLINK("https://scan.mypinata.cloud/ipfs/bafybeih3olry3is4e4lzm7rus5l3h6zrphcal5a7ayfkhzm5oivjro2cp4/#/address/0x72aE7a4DCBef4bFdE425c9A1811446fFCc29166E", "0x72aE7a4DCBef4bFdE425c9A1811446fFCc29166E")</x:f>
      </x:c>
      <x:c r="D107" s="4" t="e">
        <x:f>HYPERLINK("https://scan.mypinata.cloud/ipfs/bafybeih3olry3is4e4lzm7rus5l3h6zrphcal5a7ayfkhzm5oivjro2cp4/#/address/0x7a20189B297343CF26d8548764b04891f37F3414", "Atropa Dev")</x:f>
      </x:c>
      <x:c r="E107" s="4" t="e">
        <x:f>HYPERLINK("https://scan.mypinata.cloud/ipfs/bafybeih3olry3is4e4lzm7rus5l3h6zrphcal5a7ayfkhzm5oivjro2cp4/#/block/18457590", "18457590")</x:f>
      </x:c>
      <x:c r="F107" s="4" t="e">
        <x:f>HYPERLINK("https://scan.mypinata.cloud/ipfs/bafybeih3olry3is4e4lzm7rus5l3h6zrphcal5a7ayfkhzm5oivjro2cp4/#/tx/0x78bc490d81efc78eb31c45ae618f095b45ca368e1f802316c61873df5154d069", "2023-10-01 14:05:45")</x:f>
      </x:c>
      <x:c r="G107" s="5">
        <x:v>666.0</x:v>
      </x:c>
      <x:c r="H107" s="5">
        <x:v>666.0</x:v>
      </x:c>
      <x:c r="I107" s="5">
        <x:v>364.9549174595865</x:v>
      </x:c>
      <x:c r="J107" s="5">
        <x:v>0.0</x:v>
      </x:c>
      <x:c r="K107" s="5">
        <x:v>301.0450825404135</x:v>
      </x:c>
      <x:c r="L107" s="2" t="s">
        <x:v>28</x:v>
      </x:c>
      <x:c r="M107" s="4" t="e">
        <x:f>HYPERLINK("https://scan.mypinata.cloud/ipfs/bafybeih3olry3is4e4lzm7rus5l3h6zrphcal5a7ayfkhzm5oivjro2cp4/#/tx/0x0e88445635a90607e33f4ff80215db8af02313898e509386f025276cb0ba33bd", "2024-07-08 13:27:55")</x:f>
      </x:c>
      <x:c r="N107" s="2" t="e">
        <x:f>IFERROR(__xludf.DUMMYFUNCTION("IF(ISDATE(TO_DATE(L107)), MAX(0, ROUND(TODAY() - TO_DATE(L107)), 0), ""-"")"),"-")</x:f>
      </x:c>
      <x:c r="O107" s="2" t="e">
        <x:f>IFERROR(__xludf.DUMMYFUNCTION("IF(ISDATE(TO_DATE(M107)), MAX(0, ROUND(TODAY() - TO_DATE(M107)), 0), ""-"")"),724.0)</x:f>
      </x:c>
      <x:c r="P107" s="2" t="s">
        <x:v>28</x:v>
      </x:c>
      <x:c r="Q107" s="2" t="s">
        <x:v>28</x:v>
      </x:c>
      <x:c r="R107" s="2" t="s">
        <x:v>28</x:v>
      </x:c>
      <x:c r="S107" s="2" t="s">
        <x:v>28</x:v>
      </x:c>
      <x:c r="T107" s="2" t="s">
        <x:v>28</x:v>
      </x:c>
      <x:c r="U107" s="2" t="s">
        <x:v>28</x:v>
      </x:c>
      <x:c r="V107" s="2" t="s">
        <x:v>28</x:v>
      </x:c>
      <x:c r="W107" s="2" t="s">
        <x:v>28</x:v>
      </x:c>
      <x:c r="X107" s="2" t="s">
        <x:v>28</x:v>
      </x:c>
      <x:c r="Y107" s="2" t="s">
        <x:v>28</x:v>
      </x:c>
      <x:c r="Z107" s="9" t="s">
        <x:v>219</x:v>
      </x:c>
      <x:c r="AA107" s="57" t="str">
        <x:v>Snapshot only — run GitHub workflow</x:v>
      </x:c>
      <x:c r="AB107" s="58" t="n">
        <x:f>IFERROR(H107/G107,"")</x:f>
        <x:v>1</x:v>
      </x:c>
      <x:c r="AC107" s="57" t="str"/>
      <x:c r="AD107" s="57" t="str"/>
      <x:c r="AE107" s="57" t="str"/>
      <x:c r="AF107" s="57" t="str"/>
      <x:c r="AG107" s="2"/>
      <x:c r="AH107" s="2"/>
    </x:row>
    <x:row r="108" ht="15.75" customHeight="1">
      <x:c r="A108" s="2" t="s">
        <x:v>264</x:v>
      </x:c>
      <x:c r="B108" s="2" t="s">
        <x:v>265</x:v>
      </x:c>
      <x:c r="C108" s="3" t="e">
        <x:f>HYPERLINK("https://scan.mypinata.cloud/ipfs/bafybeih3olry3is4e4lzm7rus5l3h6zrphcal5a7ayfkhzm5oivjro2cp4/#/address/0x953A5f4D1f09D4108A89f7dA4E52A4d7d7d12dd5", "0x953A5f4D1f09D4108A89f7dA4E52A4d7d7d12dd5")</x:f>
      </x:c>
      <x:c r="D108" s="4" t="e">
        <x:f t="shared" ref="D108:D109" si="9">HYPERLINK("https://scan.mypinata.cloud/ipfs/bafybeih3olry3is4e4lzm7rus5l3h6zrphcal5a7ayfkhzm5oivjro2cp4/#/address/0x903030f7e2d6489F38B0f4F96F9b371ec7960F78", "Atropa Dev Alt")</x:f>
      </x:c>
      <x:c r="E108" s="4" t="e">
        <x:f>HYPERLINK("https://scan.mypinata.cloud/ipfs/bafybeih3olry3is4e4lzm7rus5l3h6zrphcal5a7ayfkhzm5oivjro2cp4/#/block/18466322", "18466322")</x:f>
      </x:c>
      <x:c r="F108" s="4" t="e">
        <x:f>HYPERLINK("https://scan.mypinata.cloud/ipfs/bafybeih3olry3is4e4lzm7rus5l3h6zrphcal5a7ayfkhzm5oivjro2cp4/#/tx/0x2b435146623f779f21a4d7264213c0465c2c05a0e39162d816c86a207781c908", "2023-10-02 14:31:05")</x:f>
      </x:c>
      <x:c r="G108" s="5">
        <x:v>666.0</x:v>
      </x:c>
      <x:c r="H108" s="5">
        <x:v>666.0</x:v>
      </x:c>
      <x:c r="I108" s="5">
        <x:v>664.6116372563948</x:v>
      </x:c>
      <x:c r="J108" s="5">
        <x:v>0.0</x:v>
      </x:c>
      <x:c r="K108" s="5">
        <x:v>1.3883627436051806</x:v>
      </x:c>
      <x:c r="L108" s="2" t="s">
        <x:v>28</x:v>
      </x:c>
      <x:c r="M108" s="4" t="e">
        <x:f>HYPERLINK("https://scan.mypinata.cloud/ipfs/bafybeih3olry3is4e4lzm7rus5l3h6zrphcal5a7ayfkhzm5oivjro2cp4/#/tx/0x405205c31fd2e6c79403f20317cfe02198560e118b69cc2f7018385ac631cc17", "2024-08-08 15:16:55")</x:f>
      </x:c>
      <x:c r="N108" s="2" t="e">
        <x:f>IFERROR(__xludf.DUMMYFUNCTION("IF(ISDATE(TO_DATE(L108)), MAX(0, ROUND(TODAY() - TO_DATE(L108)), 0), ""-"")"),"-")</x:f>
      </x:c>
      <x:c r="O108" s="2" t="e">
        <x:f>IFERROR(__xludf.DUMMYFUNCTION("IF(ISDATE(TO_DATE(M108)), MAX(0, ROUND(TODAY() - TO_DATE(M108)), 0), ""-"")"),693.0)</x:f>
      </x:c>
      <x:c r="P108" s="6">
        <x:v>6.98</x:v>
      </x:c>
      <x:c r="Q108" s="6">
        <x:v>171913.01023</x:v>
      </x:c>
      <x:c r="R108" s="7">
        <x:v>4648.68</x:v>
      </x:c>
      <x:c r="S108" s="7">
        <x:v>4641.0</x:v>
      </x:c>
      <x:c r="T108" s="7">
        <x:v>6.44</x:v>
      </x:c>
      <x:c r="U108" s="7">
        <x:v>48.0</x:v>
      </x:c>
      <x:c r="V108" s="2" t="s">
        <x:v>28</x:v>
      </x:c>
      <x:c r="W108" s="2" t="s">
        <x:v>28</x:v>
      </x:c>
      <x:c r="X108" s="2" t="s">
        <x:v>28</x:v>
      </x:c>
      <x:c r="Y108" s="2" t="s">
        <x:v>28</x:v>
      </x:c>
      <x:c r="Z108" s="9" t="s">
        <x:v>266</x:v>
      </x:c>
      <x:c r="AA108" s="57" t="str">
        <x:v>Snapshot only — run GitHub workflow</x:v>
      </x:c>
      <x:c r="AB108" s="58" t="n">
        <x:f>IFERROR(H108/G108,"")</x:f>
        <x:v>1</x:v>
      </x:c>
      <x:c r="AC108" s="57" t="str"/>
      <x:c r="AD108" s="57" t="str"/>
      <x:c r="AE108" s="57" t="str"/>
      <x:c r="AF108" s="57" t="str"/>
      <x:c r="AG108" s="2"/>
      <x:c r="AH108" s="2"/>
    </x:row>
    <x:row r="109" ht="15.75" customHeight="1">
      <x:c r="A109" s="2" t="s">
        <x:v>267</x:v>
      </x:c>
      <x:c r="B109" s="2" t="s">
        <x:v>268</x:v>
      </x:c>
      <x:c r="C109" s="3" t="e">
        <x:f>HYPERLINK("https://scan.mypinata.cloud/ipfs/bafybeih3olry3is4e4lzm7rus5l3h6zrphcal5a7ayfkhzm5oivjro2cp4/#/address/0xff3922Fc24c99960c7A4319f62DB23769a57DAb8", "0xff3922Fc24c99960c7A4319f62DB23769a57DAb8")</x:f>
      </x:c>
      <x:c r="D109" s="4" t="str">
        <x:f t="shared" si="9"/>
        <x:v>Atropa Dev Alt</x:v>
      </x:c>
      <x:c r="E109" s="4" t="e">
        <x:f>HYPERLINK("https://scan.mypinata.cloud/ipfs/bafybeih3olry3is4e4lzm7rus5l3h6zrphcal5a7ayfkhzm5oivjro2cp4/#/block/18466692", "18466692")</x:f>
      </x:c>
      <x:c r="F109" s="4" t="e">
        <x:f>HYPERLINK("https://scan.mypinata.cloud/ipfs/bafybeih3olry3is4e4lzm7rus5l3h6zrphcal5a7ayfkhzm5oivjro2cp4/#/tx/0x007c37f204fed7944c88797170b301dd86c5408900df33df9f17496d9fe75123", "2023-10-02 15:32:55")</x:f>
      </x:c>
      <x:c r="G109" s="5">
        <x:v>666.0</x:v>
      </x:c>
      <x:c r="H109" s="5">
        <x:v>666.0</x:v>
      </x:c>
      <x:c r="I109" s="5">
        <x:v>666.0</x:v>
      </x:c>
      <x:c r="J109" s="5">
        <x:v>0.0</x:v>
      </x:c>
      <x:c r="K109" s="5">
        <x:v>0.0</x:v>
      </x:c>
      <x:c r="L109" s="2" t="s">
        <x:v>28</x:v>
      </x:c>
      <x:c r="M109" s="2" t="s">
        <x:v>28</x:v>
      </x:c>
      <x:c r="N109" s="2" t="e">
        <x:f>IFERROR(__xludf.DUMMYFUNCTION("IF(ISDATE(TO_DATE(L109)), MAX(0, ROUND(TODAY() - TO_DATE(L109)), 0), ""-"")"),"-")</x:f>
      </x:c>
      <x:c r="O109" s="2" t="e">
        <x:f>IFERROR(__xludf.DUMMYFUNCTION("IF(ISDATE(TO_DATE(M109)), MAX(0, ROUND(TODAY() - TO_DATE(M109)), 0), ""-"")"),"-")</x:f>
      </x:c>
      <x:c r="P109" s="2" t="s">
        <x:v>28</x:v>
      </x:c>
      <x:c r="Q109" s="2" t="s">
        <x:v>28</x:v>
      </x:c>
      <x:c r="R109" s="2" t="s">
        <x:v>28</x:v>
      </x:c>
      <x:c r="S109" s="2" t="s">
        <x:v>28</x:v>
      </x:c>
      <x:c r="T109" s="2" t="s">
        <x:v>28</x:v>
      </x:c>
      <x:c r="U109" s="2" t="s">
        <x:v>28</x:v>
      </x:c>
      <x:c r="V109" s="2" t="s">
        <x:v>28</x:v>
      </x:c>
      <x:c r="W109" s="2" t="s">
        <x:v>28</x:v>
      </x:c>
      <x:c r="X109" s="2" t="s">
        <x:v>28</x:v>
      </x:c>
      <x:c r="Y109" s="2" t="s">
        <x:v>28</x:v>
      </x:c>
      <x:c r="Z109" s="9" t="s">
        <x:v>269</x:v>
      </x:c>
      <x:c r="AA109" s="57" t="str">
        <x:v>Snapshot only — run GitHub workflow</x:v>
      </x:c>
      <x:c r="AB109" s="58" t="n">
        <x:f>IFERROR(H109/G109,"")</x:f>
        <x:v>1</x:v>
      </x:c>
      <x:c r="AC109" s="57" t="str"/>
      <x:c r="AD109" s="57" t="str"/>
      <x:c r="AE109" s="57" t="str"/>
      <x:c r="AF109" s="57" t="str"/>
      <x:c r="AG109" s="2"/>
      <x:c r="AH109" s="2"/>
    </x:row>
    <x:row r="110" ht="15.75" customHeight="1">
      <x:c r="A110" s="2" t="s">
        <x:v>270</x:v>
      </x:c>
      <x:c r="B110" s="2" t="s">
        <x:v>271</x:v>
      </x:c>
      <x:c r="C110" s="3" t="e">
        <x:f>HYPERLINK("https://scan.mypinata.cloud/ipfs/bafybeih3olry3is4e4lzm7rus5l3h6zrphcal5a7ayfkhzm5oivjro2cp4/#/address/0xE0f0ba6627Af89A7eD1d887D1cDDcCCd8D79AE11", "0xE0f0ba6627Af89A7eD1d887D1cDDcCCd8D79AE11")</x:f>
      </x:c>
      <x:c r="D110" s="4" t="e">
        <x:f t="shared" ref="D110:D191" si="10">HYPERLINK("https://scan.mypinata.cloud/ipfs/bafybeih3olry3is4e4lzm7rus5l3h6zrphcal5a7ayfkhzm5oivjro2cp4/#/address/0x7a20189B297343CF26d8548764b04891f37F3414", "Atropa Dev")</x:f>
      </x:c>
      <x:c r="E110" s="4" t="e">
        <x:f>HYPERLINK("https://scan.mypinata.cloud/ipfs/bafybeih3olry3is4e4lzm7rus5l3h6zrphcal5a7ayfkhzm5oivjro2cp4/#/block/18482714", "18482714")</x:f>
      </x:c>
      <x:c r="F110" s="4" t="e">
        <x:f>HYPERLINK("https://scan.mypinata.cloud/ipfs/bafybeih3olry3is4e4lzm7rus5l3h6zrphcal5a7ayfkhzm5oivjro2cp4/#/tx/0xac26b842d8f21a1b1b1169d08a9ec27495e44246bc34ecc2169360f4ef366698", "2023-10-04 12:23:35")</x:f>
      </x:c>
      <x:c r="G110" s="5">
        <x:v>666.0</x:v>
      </x:c>
      <x:c r="H110" s="5">
        <x:v>666.0</x:v>
      </x:c>
      <x:c r="I110" s="5">
        <x:v>666.0</x:v>
      </x:c>
      <x:c r="J110" s="5">
        <x:v>0.0</x:v>
      </x:c>
      <x:c r="K110" s="5">
        <x:v>0.0</x:v>
      </x:c>
      <x:c r="L110" s="2" t="s">
        <x:v>28</x:v>
      </x:c>
      <x:c r="M110" s="2" t="s">
        <x:v>28</x:v>
      </x:c>
      <x:c r="N110" s="2" t="e">
        <x:f>IFERROR(__xludf.DUMMYFUNCTION("IF(ISDATE(TO_DATE(L110)), MAX(0, ROUND(TODAY() - TO_DATE(L110)), 0), ""-"")"),"-")</x:f>
      </x:c>
      <x:c r="O110" s="2" t="e">
        <x:f>IFERROR(__xludf.DUMMYFUNCTION("IF(ISDATE(TO_DATE(M110)), MAX(0, ROUND(TODAY() - TO_DATE(M110)), 0), ""-"")"),"-")</x:f>
      </x:c>
      <x:c r="P110" s="2" t="s">
        <x:v>28</x:v>
      </x:c>
      <x:c r="Q110" s="2" t="s">
        <x:v>28</x:v>
      </x:c>
      <x:c r="R110" s="2" t="s">
        <x:v>28</x:v>
      </x:c>
      <x:c r="S110" s="2" t="s">
        <x:v>28</x:v>
      </x:c>
      <x:c r="T110" s="7">
        <x:v>190.22</x:v>
      </x:c>
      <x:c r="U110" s="7">
        <x:v>27573.96</x:v>
      </x:c>
      <x:c r="V110" s="2" t="s">
        <x:v>28</x:v>
      </x:c>
      <x:c r="W110" s="2" t="s">
        <x:v>28</x:v>
      </x:c>
      <x:c r="X110" s="2" t="s">
        <x:v>28</x:v>
      </x:c>
      <x:c r="Y110" s="2" t="s">
        <x:v>28</x:v>
      </x:c>
      <x:c r="Z110" s="9" t="s">
        <x:v>272</x:v>
      </x:c>
      <x:c r="AA110" s="57" t="str">
        <x:v>Snapshot only — run GitHub workflow</x:v>
      </x:c>
      <x:c r="AB110" s="58" t="n">
        <x:f>IFERROR(H110/G110,"")</x:f>
        <x:v>1</x:v>
      </x:c>
      <x:c r="AC110" s="57" t="str"/>
      <x:c r="AD110" s="57" t="str"/>
      <x:c r="AE110" s="57" t="str"/>
      <x:c r="AF110" s="57" t="str"/>
      <x:c r="AG110" s="2"/>
      <x:c r="AH110" s="2"/>
    </x:row>
    <x:row r="111" ht="15.75" customHeight="1">
      <x:c r="A111" s="2" t="s">
        <x:v>273</x:v>
      </x:c>
      <x:c r="B111" s="2" t="s">
        <x:v>274</x:v>
      </x:c>
      <x:c r="C111" s="3" t="e">
        <x:f>HYPERLINK("https://scan.mypinata.cloud/ipfs/bafybeih3olry3is4e4lzm7rus5l3h6zrphcal5a7ayfkhzm5oivjro2cp4/#/address/0xC15F11fF2765C2614c8360401606feEBdB472974", "0xC15F11fF2765C2614c8360401606feEBdB472974")</x:f>
      </x:c>
      <x:c r="D111" s="4" t="str">
        <x:f t="shared" si="10"/>
        <x:v>Atropa Dev</x:v>
      </x:c>
      <x:c r="E111" s="4" t="e">
        <x:f>HYPERLINK("https://scan.mypinata.cloud/ipfs/bafybeih3olry3is4e4lzm7rus5l3h6zrphcal5a7ayfkhzm5oivjro2cp4/#/block/18491433", "18491433")</x:f>
      </x:c>
      <x:c r="F111" s="4" t="e">
        <x:f>HYPERLINK("https://scan.mypinata.cloud/ipfs/bafybeih3olry3is4e4lzm7rus5l3h6zrphcal5a7ayfkhzm5oivjro2cp4/#/tx/0x617cabec4e0d7b415bccfac26622af97c0cb2f0d3e85fd472b73b61d70a47255", "2023-10-05 12:45:05")</x:f>
      </x:c>
      <x:c r="G111" s="5">
        <x:v>666.0</x:v>
      </x:c>
      <x:c r="H111" s="5">
        <x:v>666.0</x:v>
      </x:c>
      <x:c r="I111" s="5">
        <x:v>666.0</x:v>
      </x:c>
      <x:c r="J111" s="5">
        <x:v>0.0</x:v>
      </x:c>
      <x:c r="K111" s="5">
        <x:v>0.0</x:v>
      </x:c>
      <x:c r="L111" s="2" t="s">
        <x:v>28</x:v>
      </x:c>
      <x:c r="M111" s="2" t="s">
        <x:v>28</x:v>
      </x:c>
      <x:c r="N111" s="2" t="e">
        <x:f>IFERROR(__xludf.DUMMYFUNCTION("IF(ISDATE(TO_DATE(L111)), MAX(0, ROUND(TODAY() - TO_DATE(L111)), 0), ""-"")"),"-")</x:f>
      </x:c>
      <x:c r="O111" s="2" t="e">
        <x:f>IFERROR(__xludf.DUMMYFUNCTION("IF(ISDATE(TO_DATE(M111)), MAX(0, ROUND(TODAY() - TO_DATE(M111)), 0), ""-"")"),"-")</x:f>
      </x:c>
      <x:c r="P111" s="2" t="s">
        <x:v>28</x:v>
      </x:c>
      <x:c r="Q111" s="2" t="s">
        <x:v>28</x:v>
      </x:c>
      <x:c r="R111" s="2" t="s">
        <x:v>28</x:v>
      </x:c>
      <x:c r="S111" s="2" t="s">
        <x:v>28</x:v>
      </x:c>
      <x:c r="T111" s="2" t="s">
        <x:v>28</x:v>
      </x:c>
      <x:c r="U111" s="2" t="s">
        <x:v>28</x:v>
      </x:c>
      <x:c r="V111" s="2" t="s">
        <x:v>28</x:v>
      </x:c>
      <x:c r="W111" s="2" t="s">
        <x:v>28</x:v>
      </x:c>
      <x:c r="X111" s="2" t="s">
        <x:v>28</x:v>
      </x:c>
      <x:c r="Y111" s="2" t="s">
        <x:v>28</x:v>
      </x:c>
      <x:c r="Z111" s="9" t="s">
        <x:v>255</x:v>
      </x:c>
      <x:c r="AA111" s="57" t="str">
        <x:v>Snapshot only — run GitHub workflow</x:v>
      </x:c>
      <x:c r="AB111" s="58" t="n">
        <x:f>IFERROR(H111/G111,"")</x:f>
        <x:v>1</x:v>
      </x:c>
      <x:c r="AC111" s="57" t="str"/>
      <x:c r="AD111" s="57" t="str"/>
      <x:c r="AE111" s="57" t="str"/>
      <x:c r="AF111" s="57" t="str"/>
      <x:c r="AG111" s="2"/>
      <x:c r="AH111" s="2"/>
    </x:row>
    <x:row r="112" ht="15.75" customHeight="1">
      <x:c r="A112" s="12" t="s">
        <x:v>275</x:v>
      </x:c>
      <x:c r="B112" s="12" t="s">
        <x:v>276</x:v>
      </x:c>
      <x:c r="C112" s="13" t="e">
        <x:f>HYPERLINK("https://scan.mypinata.cloud/ipfs/bafybeih3olry3is4e4lzm7rus5l3h6zrphcal5a7ayfkhzm5oivjro2cp4/#/address/0x93335cfF017c0FD28FBc58971C9fFC78FEa12081", "0x93335cfF017c0FD28FBc58971C9fFC78FEa12081")</x:f>
      </x:c>
      <x:c r="D112" s="14" t="str">
        <x:f t="shared" si="10"/>
        <x:v>Atropa Dev</x:v>
      </x:c>
      <x:c r="E112" s="14" t="e">
        <x:f>HYPERLINK("https://scan.mypinata.cloud/ipfs/bafybeih3olry3is4e4lzm7rus5l3h6zrphcal5a7ayfkhzm5oivjro2cp4/#/block/18491716", "18491716")</x:f>
      </x:c>
      <x:c r="F112" s="14" t="e">
        <x:f>HYPERLINK("https://scan.mypinata.cloud/ipfs/bafybeih3olry3is4e4lzm7rus5l3h6zrphcal5a7ayfkhzm5oivjro2cp4/#/tx/0x4e9f27f97d88e3f630b7b7c60f67761e255bd5a055020827819fe2451b2e4097", "2023-10-05 13:32:35")</x:f>
      </x:c>
      <x:c r="G112" s="15">
        <x:v>666.0</x:v>
      </x:c>
      <x:c r="H112" s="15">
        <x:v>666.0</x:v>
      </x:c>
      <x:c r="I112" s="15">
        <x:v>666.0</x:v>
      </x:c>
      <x:c r="J112" s="15">
        <x:v>0.0</x:v>
      </x:c>
      <x:c r="K112" s="15">
        <x:v>0.0</x:v>
      </x:c>
      <x:c r="L112" s="16" t="s">
        <x:v>28</x:v>
      </x:c>
      <x:c r="M112" s="16" t="s">
        <x:v>28</x:v>
      </x:c>
      <x:c r="N112" s="16" t="e">
        <x:f>IFERROR(__xludf.DUMMYFUNCTION("IF(ISDATE(TO_DATE(L112)), MAX(0, ROUND(TODAY() - TO_DATE(L112)), 0), ""-"")"),"-")</x:f>
      </x:c>
      <x:c r="O112" s="16" t="e">
        <x:f>IFERROR(__xludf.DUMMYFUNCTION("IF(ISDATE(TO_DATE(M112)), MAX(0, ROUND(TODAY() - TO_DATE(M112)), 0), ""-"")"),"-")</x:f>
      </x:c>
      <x:c r="P112" s="16" t="s">
        <x:v>28</x:v>
      </x:c>
      <x:c r="Q112" s="16" t="s">
        <x:v>28</x:v>
      </x:c>
      <x:c r="R112" s="16" t="s">
        <x:v>28</x:v>
      </x:c>
      <x:c r="S112" s="16" t="s">
        <x:v>28</x:v>
      </x:c>
      <x:c r="T112" s="16" t="s">
        <x:v>28</x:v>
      </x:c>
      <x:c r="U112" s="16" t="s">
        <x:v>28</x:v>
      </x:c>
      <x:c r="V112" s="16" t="s">
        <x:v>28</x:v>
      </x:c>
      <x:c r="W112" s="16" t="s">
        <x:v>28</x:v>
      </x:c>
      <x:c r="X112" s="16" t="s">
        <x:v>28</x:v>
      </x:c>
      <x:c r="Y112" s="16" t="s">
        <x:v>28</x:v>
      </x:c>
      <x:c r="Z112" s="19" t="s">
        <x:v>277</x:v>
      </x:c>
      <x:c r="AA112" s="37" t="str">
        <x:v>Snapshot only — run GitHub workflow</x:v>
      </x:c>
      <x:c r="AB112" s="59" t="n">
        <x:f>IFERROR(H112/G112,"")</x:f>
        <x:v>1</x:v>
      </x:c>
      <x:c r="AC112" s="37" t="str"/>
      <x:c r="AD112" s="37" t="str"/>
      <x:c r="AE112" s="37" t="str"/>
      <x:c r="AF112" s="37" t="str"/>
      <x:c r="AG112" s="16"/>
      <x:c r="AH112" s="16"/>
    </x:row>
    <x:row r="113" ht="15.75" customHeight="1">
      <x:c r="A113" s="2" t="s">
        <x:v>278</x:v>
      </x:c>
      <x:c r="B113" s="11" t="s">
        <x:v>279</x:v>
      </x:c>
      <x:c r="C113" s="3" t="e">
        <x:f>HYPERLINK("https://scan.mypinata.cloud/ipfs/bafybeih3olry3is4e4lzm7rus5l3h6zrphcal5a7ayfkhzm5oivjro2cp4/#/address/0x3c5B8de790304069B44354a4446A4c37682f542b", "0x3c5B8de790304069B44354a4446A4c37682f542b")</x:f>
      </x:c>
      <x:c r="D113" s="4" t="str">
        <x:f t="shared" si="10"/>
        <x:v>Atropa Dev</x:v>
      </x:c>
      <x:c r="E113" s="4" t="e">
        <x:f>HYPERLINK("https://scan.mypinata.cloud/ipfs/bafybeih3olry3is4e4lzm7rus5l3h6zrphcal5a7ayfkhzm5oivjro2cp4/#/block/18492912", "18492912")</x:f>
      </x:c>
      <x:c r="F113" s="4" t="e">
        <x:f>HYPERLINK("https://scan.mypinata.cloud/ipfs/bafybeih3olry3is4e4lzm7rus5l3h6zrphcal5a7ayfkhzm5oivjro2cp4/#/tx/0x4e7ec1430b13c6b7b7226fea5a2b1b6d11d1c63b1d3994714ef81872685432dd", "2023-10-05 16:53:35")</x:f>
      </x:c>
      <x:c r="G113" s="5">
        <x:v>666.0</x:v>
      </x:c>
      <x:c r="H113" s="5">
        <x:v>666.0</x:v>
      </x:c>
      <x:c r="I113" s="5">
        <x:v>666.0</x:v>
      </x:c>
      <x:c r="J113" s="5">
        <x:v>0.0</x:v>
      </x:c>
      <x:c r="K113" s="5">
        <x:v>0.0</x:v>
      </x:c>
      <x:c r="L113" s="2" t="s">
        <x:v>28</x:v>
      </x:c>
      <x:c r="M113" s="2" t="s">
        <x:v>28</x:v>
      </x:c>
      <x:c r="N113" s="2" t="e">
        <x:f>IFERROR(__xludf.DUMMYFUNCTION("IF(ISDATE(TO_DATE(L113)), MAX(0, ROUND(TODAY() - TO_DATE(L113)), 0), ""-"")"),"-")</x:f>
      </x:c>
      <x:c r="O113" s="2" t="e">
        <x:f>IFERROR(__xludf.DUMMYFUNCTION("IF(ISDATE(TO_DATE(M113)), MAX(0, ROUND(TODAY() - TO_DATE(M113)), 0), ""-"")"),"-")</x:f>
      </x:c>
      <x:c r="P113" s="6">
        <x:v>3.22</x:v>
      </x:c>
      <x:c r="Q113" s="6">
        <x:v>79204.745</x:v>
      </x:c>
      <x:c r="R113" s="7">
        <x:v>2144.52</x:v>
      </x:c>
      <x:c r="S113" s="7">
        <x:v>2150.0</x:v>
      </x:c>
      <x:c r="T113" s="7">
        <x:v>2.14</x:v>
      </x:c>
      <x:c r="U113" s="7">
        <x:v>229.99</x:v>
      </x:c>
      <x:c r="V113" s="2" t="s">
        <x:v>28</x:v>
      </x:c>
      <x:c r="W113" s="2" t="s">
        <x:v>28</x:v>
      </x:c>
      <x:c r="X113" s="2" t="s">
        <x:v>28</x:v>
      </x:c>
      <x:c r="Y113" s="2" t="s">
        <x:v>28</x:v>
      </x:c>
      <x:c r="Z113" s="9" t="s">
        <x:v>280</x:v>
      </x:c>
      <x:c r="AA113" s="57" t="str">
        <x:v>Snapshot only — run GitHub workflow</x:v>
      </x:c>
      <x:c r="AB113" s="58" t="n">
        <x:f>IFERROR(H113/G113,"")</x:f>
        <x:v>1</x:v>
      </x:c>
      <x:c r="AC113" s="57" t="str"/>
      <x:c r="AD113" s="57" t="str"/>
      <x:c r="AE113" s="57" t="str"/>
      <x:c r="AF113" s="57" t="str"/>
      <x:c r="AG113" s="2"/>
      <x:c r="AH113" s="2"/>
    </x:row>
    <x:row r="114" ht="15.75" customHeight="1">
      <x:c r="A114" s="12" t="s">
        <x:v>281</x:v>
      </x:c>
      <x:c r="B114" s="12" t="s">
        <x:v>282</x:v>
      </x:c>
      <x:c r="C114" s="13" t="e">
        <x:f>HYPERLINK("https://scan.mypinata.cloud/ipfs/bafybeih3olry3is4e4lzm7rus5l3h6zrphcal5a7ayfkhzm5oivjro2cp4/#/address/0xD734705875C29Bc84Fb9C88435f334fbEcf76D11", "0xD734705875C29Bc84Fb9C88435f334fbEcf76D11")</x:f>
      </x:c>
      <x:c r="D114" s="14" t="str">
        <x:f t="shared" si="10"/>
        <x:v>Atropa Dev</x:v>
      </x:c>
      <x:c r="E114" s="14" t="e">
        <x:f>HYPERLINK("https://scan.mypinata.cloud/ipfs/bafybeih3olry3is4e4lzm7rus5l3h6zrphcal5a7ayfkhzm5oivjro2cp4/#/block/18493095", "18493095")</x:f>
      </x:c>
      <x:c r="F114" s="14" t="e">
        <x:f>HYPERLINK("https://scan.mypinata.cloud/ipfs/bafybeih3olry3is4e4lzm7rus5l3h6zrphcal5a7ayfkhzm5oivjro2cp4/#/tx/0xd00fb5f3c03b7fff395c95f33f8798dd83565e8c16c3015dc1f221295fe3b224", "2023-10-05 17:24:25")</x:f>
      </x:c>
      <x:c r="G114" s="15">
        <x:v>666.0</x:v>
      </x:c>
      <x:c r="H114" s="15">
        <x:v>666.0</x:v>
      </x:c>
      <x:c r="I114" s="15">
        <x:v>666.0</x:v>
      </x:c>
      <x:c r="J114" s="15">
        <x:v>0.0</x:v>
      </x:c>
      <x:c r="K114" s="15">
        <x:v>0.0</x:v>
      </x:c>
      <x:c r="L114" s="16" t="s">
        <x:v>28</x:v>
      </x:c>
      <x:c r="M114" s="16" t="s">
        <x:v>28</x:v>
      </x:c>
      <x:c r="N114" s="16" t="e">
        <x:f>IFERROR(__xludf.DUMMYFUNCTION("IF(ISDATE(TO_DATE(L114)), MAX(0, ROUND(TODAY() - TO_DATE(L114)), 0), ""-"")"),"-")</x:f>
      </x:c>
      <x:c r="O114" s="16" t="e">
        <x:f>IFERROR(__xludf.DUMMYFUNCTION("IF(ISDATE(TO_DATE(M114)), MAX(0, ROUND(TODAY() - TO_DATE(M114)), 0), ""-"")"),"-")</x:f>
      </x:c>
      <x:c r="P114" s="16" t="s">
        <x:v>28</x:v>
      </x:c>
      <x:c r="Q114" s="16" t="s">
        <x:v>28</x:v>
      </x:c>
      <x:c r="R114" s="16" t="s">
        <x:v>28</x:v>
      </x:c>
      <x:c r="S114" s="16" t="s">
        <x:v>28</x:v>
      </x:c>
      <x:c r="T114" s="16" t="s">
        <x:v>28</x:v>
      </x:c>
      <x:c r="U114" s="16" t="s">
        <x:v>28</x:v>
      </x:c>
      <x:c r="V114" s="16" t="s">
        <x:v>28</x:v>
      </x:c>
      <x:c r="W114" s="16" t="s">
        <x:v>28</x:v>
      </x:c>
      <x:c r="X114" s="16" t="s">
        <x:v>28</x:v>
      </x:c>
      <x:c r="Y114" s="16" t="s">
        <x:v>28</x:v>
      </x:c>
      <x:c r="Z114" s="19" t="s">
        <x:v>283</x:v>
      </x:c>
      <x:c r="AA114" s="37" t="str">
        <x:v>Snapshot only — run GitHub workflow</x:v>
      </x:c>
      <x:c r="AB114" s="59" t="n">
        <x:f>IFERROR(H114/G114,"")</x:f>
        <x:v>1</x:v>
      </x:c>
      <x:c r="AC114" s="37" t="str"/>
      <x:c r="AD114" s="37" t="str"/>
      <x:c r="AE114" s="37" t="str"/>
      <x:c r="AF114" s="37" t="str"/>
      <x:c r="AG114" s="16"/>
      <x:c r="AH114" s="16"/>
    </x:row>
    <x:row r="115" ht="15.75" customHeight="1">
      <x:c r="A115" s="2" t="s">
        <x:v>284</x:v>
      </x:c>
      <x:c r="B115" s="2" t="s">
        <x:v>285</x:v>
      </x:c>
      <x:c r="C115" s="3" t="e">
        <x:f>HYPERLINK("https://scan.mypinata.cloud/ipfs/bafybeih3olry3is4e4lzm7rus5l3h6zrphcal5a7ayfkhzm5oivjro2cp4/#/address/0xF7EF7188ca663bab6B7b72eC5dF79A048FD8BA25", "0xF7EF7188ca663bab6B7b72eC5dF79A048FD8BA25")</x:f>
      </x:c>
      <x:c r="D115" s="4" t="str">
        <x:f t="shared" si="10"/>
        <x:v>Atropa Dev</x:v>
      </x:c>
      <x:c r="E115" s="4" t="e">
        <x:f>HYPERLINK("https://scan.mypinata.cloud/ipfs/bafybeih3olry3is4e4lzm7rus5l3h6zrphcal5a7ayfkhzm5oivjro2cp4/#/block/18493621", "18493621")</x:f>
      </x:c>
      <x:c r="F115" s="4" t="e">
        <x:f>HYPERLINK("https://scan.mypinata.cloud/ipfs/bafybeih3olry3is4e4lzm7rus5l3h6zrphcal5a7ayfkhzm5oivjro2cp4/#/tx/0x12b0b995b6bf4c8e6d3fa09a7631cdba341106c6ed98dfcd68665502737b9577", "2023-10-05 18:52:45")</x:f>
      </x:c>
      <x:c r="G115" s="5">
        <x:v>666.0</x:v>
      </x:c>
      <x:c r="H115" s="5">
        <x:v>666.0</x:v>
      </x:c>
      <x:c r="I115" s="5">
        <x:v>666.0</x:v>
      </x:c>
      <x:c r="J115" s="5">
        <x:v>0.0</x:v>
      </x:c>
      <x:c r="K115" s="5">
        <x:v>0.0</x:v>
      </x:c>
      <x:c r="L115" s="2" t="s">
        <x:v>28</x:v>
      </x:c>
      <x:c r="M115" s="2" t="s">
        <x:v>28</x:v>
      </x:c>
      <x:c r="N115" s="2" t="e">
        <x:f>IFERROR(__xludf.DUMMYFUNCTION("IF(ISDATE(TO_DATE(L115)), MAX(0, ROUND(TODAY() - TO_DATE(L115)), 0), ""-"")"),"-")</x:f>
      </x:c>
      <x:c r="O115" s="2" t="e">
        <x:f>IFERROR(__xludf.DUMMYFUNCTION("IF(ISDATE(TO_DATE(M115)), MAX(0, ROUND(TODAY() - TO_DATE(M115)), 0), ""-"")"),"-")</x:f>
      </x:c>
      <x:c r="P115" s="2" t="s">
        <x:v>28</x:v>
      </x:c>
      <x:c r="Q115" s="2" t="s">
        <x:v>28</x:v>
      </x:c>
      <x:c r="R115" s="2" t="s">
        <x:v>28</x:v>
      </x:c>
      <x:c r="S115" s="2" t="s">
        <x:v>28</x:v>
      </x:c>
      <x:c r="T115" s="2" t="s">
        <x:v>28</x:v>
      </x:c>
      <x:c r="U115" s="2" t="s">
        <x:v>28</x:v>
      </x:c>
      <x:c r="V115" s="2" t="s">
        <x:v>28</x:v>
      </x:c>
      <x:c r="W115" s="2" t="s">
        <x:v>28</x:v>
      </x:c>
      <x:c r="X115" s="2" t="s">
        <x:v>28</x:v>
      </x:c>
      <x:c r="Y115" s="2" t="s">
        <x:v>28</x:v>
      </x:c>
      <x:c r="Z115" s="9" t="s">
        <x:v>286</x:v>
      </x:c>
      <x:c r="AA115" s="57" t="str">
        <x:v>Snapshot only — run GitHub workflow</x:v>
      </x:c>
      <x:c r="AB115" s="58" t="n">
        <x:f>IFERROR(H115/G115,"")</x:f>
        <x:v>1</x:v>
      </x:c>
      <x:c r="AC115" s="57" t="str"/>
      <x:c r="AD115" s="57" t="str"/>
      <x:c r="AE115" s="57" t="str"/>
      <x:c r="AF115" s="57" t="str"/>
      <x:c r="AG115" s="2"/>
      <x:c r="AH115" s="2"/>
    </x:row>
    <x:row r="116" ht="15.75" customHeight="1">
      <x:c r="A116" s="2" t="s">
        <x:v>287</x:v>
      </x:c>
      <x:c r="B116" s="2" t="s">
        <x:v>288</x:v>
      </x:c>
      <x:c r="C116" s="3" t="e">
        <x:f>HYPERLINK("https://scan.mypinata.cloud/ipfs/bafybeih3olry3is4e4lzm7rus5l3h6zrphcal5a7ayfkhzm5oivjro2cp4/#/address/0xD9278476796B0998B61A708921d835501D689203", "0xD9278476796B0998B61A708921d835501D689203")</x:f>
      </x:c>
      <x:c r="D116" s="4" t="str">
        <x:f t="shared" si="10"/>
        <x:v>Atropa Dev</x:v>
      </x:c>
      <x:c r="E116" s="4" t="e">
        <x:f>HYPERLINK("https://scan.mypinata.cloud/ipfs/bafybeih3olry3is4e4lzm7rus5l3h6zrphcal5a7ayfkhzm5oivjro2cp4/#/block/18500146", "18500146")</x:f>
      </x:c>
      <x:c r="F116" s="4" t="e">
        <x:f>HYPERLINK("https://scan.mypinata.cloud/ipfs/bafybeih3olry3is4e4lzm7rus5l3h6zrphcal5a7ayfkhzm5oivjro2cp4/#/tx/0x7dbf62297e23628bef04c77d2889d0b54077f6444aad78b85ae578279e87db4f", "2023-10-06 13:07:15")</x:f>
      </x:c>
      <x:c r="G116" s="5">
        <x:v>666.0</x:v>
      </x:c>
      <x:c r="H116" s="5">
        <x:v>666.0</x:v>
      </x:c>
      <x:c r="I116" s="5">
        <x:v>666.0</x:v>
      </x:c>
      <x:c r="J116" s="5">
        <x:v>0.0</x:v>
      </x:c>
      <x:c r="K116" s="5">
        <x:v>0.0</x:v>
      </x:c>
      <x:c r="L116" s="2" t="s">
        <x:v>28</x:v>
      </x:c>
      <x:c r="M116" s="2" t="s">
        <x:v>28</x:v>
      </x:c>
      <x:c r="N116" s="2" t="e">
        <x:f>IFERROR(__xludf.DUMMYFUNCTION("IF(ISDATE(TO_DATE(L116)), MAX(0, ROUND(TODAY() - TO_DATE(L116)), 0), ""-"")"),"-")</x:f>
      </x:c>
      <x:c r="O116" s="2" t="e">
        <x:f>IFERROR(__xludf.DUMMYFUNCTION("IF(ISDATE(TO_DATE(M116)), MAX(0, ROUND(TODAY() - TO_DATE(M116)), 0), ""-"")"),"-")</x:f>
      </x:c>
      <x:c r="P116" s="2" t="s">
        <x:v>28</x:v>
      </x:c>
      <x:c r="Q116" s="2" t="s">
        <x:v>28</x:v>
      </x:c>
      <x:c r="R116" s="2" t="s">
        <x:v>28</x:v>
      </x:c>
      <x:c r="S116" s="2" t="s">
        <x:v>28</x:v>
      </x:c>
      <x:c r="T116" s="2" t="s">
        <x:v>28</x:v>
      </x:c>
      <x:c r="U116" s="2" t="s">
        <x:v>28</x:v>
      </x:c>
      <x:c r="V116" s="2" t="s">
        <x:v>28</x:v>
      </x:c>
      <x:c r="W116" s="2" t="s">
        <x:v>28</x:v>
      </x:c>
      <x:c r="X116" s="2" t="s">
        <x:v>28</x:v>
      </x:c>
      <x:c r="Y116" s="2" t="s">
        <x:v>28</x:v>
      </x:c>
      <x:c r="Z116" s="9" t="s">
        <x:v>258</x:v>
      </x:c>
      <x:c r="AA116" s="57" t="str">
        <x:v>Snapshot only — run GitHub workflow</x:v>
      </x:c>
      <x:c r="AB116" s="58" t="n">
        <x:f>IFERROR(H116/G116,"")</x:f>
        <x:v>1</x:v>
      </x:c>
      <x:c r="AC116" s="57" t="str"/>
      <x:c r="AD116" s="57" t="str"/>
      <x:c r="AE116" s="57" t="str"/>
      <x:c r="AF116" s="57" t="str"/>
      <x:c r="AG116" s="2"/>
      <x:c r="AH116" s="2"/>
    </x:row>
    <x:row r="117" ht="15.75" customHeight="1">
      <x:c r="A117" s="12" t="s">
        <x:v>289</x:v>
      </x:c>
      <x:c r="B117" s="12" t="s">
        <x:v>290</x:v>
      </x:c>
      <x:c r="C117" s="13" t="e">
        <x:f>HYPERLINK("https://scan.mypinata.cloud/ipfs/bafybeih3olry3is4e4lzm7rus5l3h6zrphcal5a7ayfkhzm5oivjro2cp4/#/address/0x379877Af60547140caD225457CA226c8a3Cc8c67", "0x379877Af60547140caD225457CA226c8a3Cc8c67")</x:f>
      </x:c>
      <x:c r="D117" s="14" t="str">
        <x:f t="shared" si="10"/>
        <x:v>Atropa Dev</x:v>
      </x:c>
      <x:c r="E117" s="14" t="e">
        <x:f>HYPERLINK("https://scan.mypinata.cloud/ipfs/bafybeih3olry3is4e4lzm7rus5l3h6zrphcal5a7ayfkhzm5oivjro2cp4/#/block/18500834", "18500834")</x:f>
      </x:c>
      <x:c r="F117" s="14" t="e">
        <x:f>HYPERLINK("https://scan.mypinata.cloud/ipfs/bafybeih3olry3is4e4lzm7rus5l3h6zrphcal5a7ayfkhzm5oivjro2cp4/#/tx/0x40102e48fa4e706beea3636d3b0eab8fa6556a7f927b24f7ef042ef19f184374", "2023-10-06 15:03:25")</x:f>
      </x:c>
      <x:c r="G117" s="15">
        <x:v>666.0</x:v>
      </x:c>
      <x:c r="H117" s="15">
        <x:v>666.0</x:v>
      </x:c>
      <x:c r="I117" s="15">
        <x:v>666.0</x:v>
      </x:c>
      <x:c r="J117" s="15">
        <x:v>0.0</x:v>
      </x:c>
      <x:c r="K117" s="15">
        <x:v>0.0</x:v>
      </x:c>
      <x:c r="L117" s="16" t="s">
        <x:v>28</x:v>
      </x:c>
      <x:c r="M117" s="16" t="s">
        <x:v>28</x:v>
      </x:c>
      <x:c r="N117" s="16" t="e">
        <x:f>IFERROR(__xludf.DUMMYFUNCTION("IF(ISDATE(TO_DATE(L117)), MAX(0, ROUND(TODAY() - TO_DATE(L117)), 0), ""-"")"),"-")</x:f>
      </x:c>
      <x:c r="O117" s="16" t="e">
        <x:f>IFERROR(__xludf.DUMMYFUNCTION("IF(ISDATE(TO_DATE(M117)), MAX(0, ROUND(TODAY() - TO_DATE(M117)), 0), ""-"")"),"-")</x:f>
      </x:c>
      <x:c r="P117" s="16" t="s">
        <x:v>28</x:v>
      </x:c>
      <x:c r="Q117" s="16" t="s">
        <x:v>28</x:v>
      </x:c>
      <x:c r="R117" s="16" t="s">
        <x:v>28</x:v>
      </x:c>
      <x:c r="S117" s="16" t="s">
        <x:v>28</x:v>
      </x:c>
      <x:c r="T117" s="16" t="s">
        <x:v>28</x:v>
      </x:c>
      <x:c r="U117" s="16" t="s">
        <x:v>28</x:v>
      </x:c>
      <x:c r="V117" s="16" t="s">
        <x:v>28</x:v>
      </x:c>
      <x:c r="W117" s="16" t="s">
        <x:v>28</x:v>
      </x:c>
      <x:c r="X117" s="16" t="s">
        <x:v>28</x:v>
      </x:c>
      <x:c r="Y117" s="16" t="s">
        <x:v>28</x:v>
      </x:c>
      <x:c r="Z117" s="19" t="s">
        <x:v>291</x:v>
      </x:c>
      <x:c r="AA117" s="37" t="str">
        <x:v>Snapshot only — run GitHub workflow</x:v>
      </x:c>
      <x:c r="AB117" s="59" t="n">
        <x:f>IFERROR(H117/G117,"")</x:f>
        <x:v>1</x:v>
      </x:c>
      <x:c r="AC117" s="37" t="str"/>
      <x:c r="AD117" s="37" t="str"/>
      <x:c r="AE117" s="37" t="str"/>
      <x:c r="AF117" s="37" t="str"/>
      <x:c r="AG117" s="16"/>
      <x:c r="AH117" s="16"/>
    </x:row>
    <x:row r="118" ht="15.75" customHeight="1">
      <x:c r="A118" s="2" t="s">
        <x:v>292</x:v>
      </x:c>
      <x:c r="B118" s="2" t="s">
        <x:v>293</x:v>
      </x:c>
      <x:c r="C118" s="3" t="e">
        <x:f>HYPERLINK("https://scan.mypinata.cloud/ipfs/bafybeih3olry3is4e4lzm7rus5l3h6zrphcal5a7ayfkhzm5oivjro2cp4/#/address/0x283a7e68DBB4d26Cb3878CA9084ed3d0e45cF5C5", "0x283a7e68DBB4d26Cb3878CA9084ed3d0e45cF5C5")</x:f>
      </x:c>
      <x:c r="D118" s="4" t="str">
        <x:f t="shared" si="10"/>
        <x:v>Atropa Dev</x:v>
      </x:c>
      <x:c r="E118" s="4" t="e">
        <x:f>HYPERLINK("https://scan.mypinata.cloud/ipfs/bafybeih3olry3is4e4lzm7rus5l3h6zrphcal5a7ayfkhzm5oivjro2cp4/#/block/18500948", "18500948")</x:f>
      </x:c>
      <x:c r="F118" s="4" t="e">
        <x:f>HYPERLINK("https://scan.mypinata.cloud/ipfs/bafybeih3olry3is4e4lzm7rus5l3h6zrphcal5a7ayfkhzm5oivjro2cp4/#/tx/0x4b28eb01d815aa2f634aad91a93be4f2e233820d44b155af4d7495e25d250ab2", "2023-10-06 15:22:25")</x:f>
      </x:c>
      <x:c r="G118" s="5">
        <x:v>666.0</x:v>
      </x:c>
      <x:c r="H118" s="5">
        <x:v>666.0</x:v>
      </x:c>
      <x:c r="I118" s="5">
        <x:v>666.0</x:v>
      </x:c>
      <x:c r="J118" s="5">
        <x:v>0.0</x:v>
      </x:c>
      <x:c r="K118" s="5">
        <x:v>0.0</x:v>
      </x:c>
      <x:c r="L118" s="2" t="s">
        <x:v>28</x:v>
      </x:c>
      <x:c r="M118" s="2" t="s">
        <x:v>28</x:v>
      </x:c>
      <x:c r="N118" s="2" t="e">
        <x:f>IFERROR(__xludf.DUMMYFUNCTION("IF(ISDATE(TO_DATE(L118)), MAX(0, ROUND(TODAY() - TO_DATE(L118)), 0), ""-"")"),"-")</x:f>
      </x:c>
      <x:c r="O118" s="2" t="e">
        <x:f>IFERROR(__xludf.DUMMYFUNCTION("IF(ISDATE(TO_DATE(M118)), MAX(0, ROUND(TODAY() - TO_DATE(M118)), 0), ""-"")"),"-")</x:f>
      </x:c>
      <x:c r="P118" s="6">
        <x:v>9.44</x:v>
      </x:c>
      <x:c r="Q118" s="6">
        <x:v>234055.9309</x:v>
      </x:c>
      <x:c r="R118" s="7">
        <x:v>6287.04</x:v>
      </x:c>
      <x:c r="S118" s="7">
        <x:v>6289.0</x:v>
      </x:c>
      <x:c r="T118" s="7">
        <x:v>4.63</x:v>
      </x:c>
      <x:c r="U118" s="7">
        <x:v>162.09</x:v>
      </x:c>
      <x:c r="V118" s="2" t="s">
        <x:v>28</x:v>
      </x:c>
      <x:c r="W118" s="2" t="s">
        <x:v>28</x:v>
      </x:c>
      <x:c r="X118" s="2" t="s">
        <x:v>28</x:v>
      </x:c>
      <x:c r="Y118" s="2" t="s">
        <x:v>28</x:v>
      </x:c>
      <x:c r="Z118" s="9" t="s">
        <x:v>258</x:v>
      </x:c>
      <x:c r="AA118" s="57" t="str">
        <x:v>Snapshot only — run GitHub workflow</x:v>
      </x:c>
      <x:c r="AB118" s="58" t="n">
        <x:f>IFERROR(H118/G118,"")</x:f>
        <x:v>1</x:v>
      </x:c>
      <x:c r="AC118" s="57" t="str"/>
      <x:c r="AD118" s="57" t="str"/>
      <x:c r="AE118" s="57" t="str"/>
      <x:c r="AF118" s="57" t="str"/>
      <x:c r="AG118" s="2"/>
      <x:c r="AH118" s="2"/>
    </x:row>
    <x:row r="119" ht="15.75" customHeight="1">
      <x:c r="A119" s="2" t="s">
        <x:v>294</x:v>
      </x:c>
      <x:c r="B119" s="2" t="s">
        <x:v>295</x:v>
      </x:c>
      <x:c r="C119" s="3" t="e">
        <x:f>HYPERLINK("https://scan.mypinata.cloud/ipfs/bafybeih3olry3is4e4lzm7rus5l3h6zrphcal5a7ayfkhzm5oivjro2cp4/#/address/0xbA5BcC299895b77D67F660962575b427b341Bb88", "0xbA5BcC299895b77D67F660962575b427b341Bb88")</x:f>
      </x:c>
      <x:c r="D119" s="4" t="str">
        <x:f t="shared" si="10"/>
        <x:v>Atropa Dev</x:v>
      </x:c>
      <x:c r="E119" s="4" t="e">
        <x:f>HYPERLINK("https://scan.mypinata.cloud/ipfs/bafybeih3olry3is4e4lzm7rus5l3h6zrphcal5a7ayfkhzm5oivjro2cp4/#/block/18508500", "18508500")</x:f>
      </x:c>
      <x:c r="F119" s="4" t="e">
        <x:f>HYPERLINK("https://scan.mypinata.cloud/ipfs/bafybeih3olry3is4e4lzm7rus5l3h6zrphcal5a7ayfkhzm5oivjro2cp4/#/tx/0x2ce8d9e93336741fa36809a2fe1715838cb959aa6581796fbe78d1a9812ccbb8", "2023-10-07 12:31:35")</x:f>
      </x:c>
      <x:c r="G119" s="5">
        <x:v>666.0</x:v>
      </x:c>
      <x:c r="H119" s="5">
        <x:v>666.0</x:v>
      </x:c>
      <x:c r="I119" s="5">
        <x:v>665.9998382559821</x:v>
      </x:c>
      <x:c r="J119" s="5">
        <x:v>0.0</x:v>
      </x:c>
      <x:c r="K119" s="5">
        <x:v>1.617440178352E-4</x:v>
      </x:c>
      <x:c r="L119" s="2" t="s">
        <x:v>28</x:v>
      </x:c>
      <x:c r="M119" s="4" t="e">
        <x:f>HYPERLINK("https://scan.mypinata.cloud/ipfs/bafybeih3olry3is4e4lzm7rus5l3h6zrphcal5a7ayfkhzm5oivjro2cp4/#/tx/0xea96e29eb092f57fb6899f999ceabf5c64482ccc3d46b717e9398bf112378fe5", "2024-01-31 17:29:55")</x:f>
      </x:c>
      <x:c r="N119" s="2" t="e">
        <x:f>IFERROR(__xludf.DUMMYFUNCTION("IF(ISDATE(TO_DATE(L119)), MAX(0, ROUND(TODAY() - TO_DATE(L119)), 0), ""-"")"),"-")</x:f>
      </x:c>
      <x:c r="O119" s="2" t="e">
        <x:f>IFERROR(__xludf.DUMMYFUNCTION("IF(ISDATE(TO_DATE(M119)), MAX(0, ROUND(TODAY() - TO_DATE(M119)), 0), ""-"")"),883.0)</x:f>
      </x:c>
      <x:c r="P119" s="2" t="s">
        <x:v>28</x:v>
      </x:c>
      <x:c r="Q119" s="2" t="s">
        <x:v>28</x:v>
      </x:c>
      <x:c r="R119" s="2" t="s">
        <x:v>28</x:v>
      </x:c>
      <x:c r="S119" s="2" t="s">
        <x:v>28</x:v>
      </x:c>
      <x:c r="T119" s="2" t="s">
        <x:v>28</x:v>
      </x:c>
      <x:c r="U119" s="2" t="s">
        <x:v>28</x:v>
      </x:c>
      <x:c r="V119" s="2" t="s">
        <x:v>28</x:v>
      </x:c>
      <x:c r="W119" s="2" t="s">
        <x:v>28</x:v>
      </x:c>
      <x:c r="X119" s="2" t="s">
        <x:v>28</x:v>
      </x:c>
      <x:c r="Y119" s="2" t="s">
        <x:v>28</x:v>
      </x:c>
      <x:c r="Z119" s="9" t="s">
        <x:v>296</x:v>
      </x:c>
      <x:c r="AA119" s="57" t="str">
        <x:v>Snapshot only — run GitHub workflow</x:v>
      </x:c>
      <x:c r="AB119" s="58" t="n">
        <x:f>IFERROR(H119/G119,"")</x:f>
        <x:v>1</x:v>
      </x:c>
      <x:c r="AC119" s="57" t="str"/>
      <x:c r="AD119" s="57" t="str"/>
      <x:c r="AE119" s="57" t="str"/>
      <x:c r="AF119" s="57" t="str"/>
      <x:c r="AG119" s="2"/>
      <x:c r="AH119" s="2"/>
    </x:row>
    <x:row r="120" ht="15.75" customHeight="1">
      <x:c r="A120" s="12" t="s">
        <x:v>297</x:v>
      </x:c>
      <x:c r="B120" s="12" t="s">
        <x:v>298</x:v>
      </x:c>
      <x:c r="C120" s="13" t="e">
        <x:f>HYPERLINK("https://scan.mypinata.cloud/ipfs/bafybeih3olry3is4e4lzm7rus5l3h6zrphcal5a7ayfkhzm5oivjro2cp4/#/address/0xD64f26Bcf78df919D587b6743fcFf5b155815bd6", "0xD64f26Bcf78df919D587b6743fcFf5b155815bd6")</x:f>
      </x:c>
      <x:c r="D120" s="14" t="str">
        <x:f t="shared" si="10"/>
        <x:v>Atropa Dev</x:v>
      </x:c>
      <x:c r="E120" s="14" t="e">
        <x:f>HYPERLINK("https://scan.mypinata.cloud/ipfs/bafybeih3olry3is4e4lzm7rus5l3h6zrphcal5a7ayfkhzm5oivjro2cp4/#/block/18510900", "18510900")</x:f>
      </x:c>
      <x:c r="F120" s="14" t="e">
        <x:f>HYPERLINK("https://scan.mypinata.cloud/ipfs/bafybeih3olry3is4e4lzm7rus5l3h6zrphcal5a7ayfkhzm5oivjro2cp4/#/tx/0x62c356c50865cd41aa12cb3ad6dcd9b57de2a06efcb59982af4a19962b573da8", "2023-10-07 19:15:15")</x:f>
      </x:c>
      <x:c r="G120" s="15">
        <x:v>666.0</x:v>
      </x:c>
      <x:c r="H120" s="15">
        <x:v>666.0</x:v>
      </x:c>
      <x:c r="I120" s="15">
        <x:v>666.0</x:v>
      </x:c>
      <x:c r="J120" s="15">
        <x:v>0.0</x:v>
      </x:c>
      <x:c r="K120" s="15">
        <x:v>0.0</x:v>
      </x:c>
      <x:c r="L120" s="16" t="s">
        <x:v>28</x:v>
      </x:c>
      <x:c r="M120" s="16" t="s">
        <x:v>28</x:v>
      </x:c>
      <x:c r="N120" s="16" t="e">
        <x:f>IFERROR(__xludf.DUMMYFUNCTION("IF(ISDATE(TO_DATE(L120)), MAX(0, ROUND(TODAY() - TO_DATE(L120)), 0), ""-"")"),"-")</x:f>
      </x:c>
      <x:c r="O120" s="16" t="e">
        <x:f>IFERROR(__xludf.DUMMYFUNCTION("IF(ISDATE(TO_DATE(M120)), MAX(0, ROUND(TODAY() - TO_DATE(M120)), 0), ""-"")"),"-")</x:f>
      </x:c>
      <x:c r="P120" s="17">
        <x:v>93.37</x:v>
      </x:c>
      <x:c r="Q120" s="17">
        <x:v>2357750.5678</x:v>
      </x:c>
      <x:c r="R120" s="18">
        <x:v>62184.42</x:v>
      </x:c>
      <x:c r="S120" s="18">
        <x:v>62189.0</x:v>
      </x:c>
      <x:c r="T120" s="18">
        <x:v>1578.73</x:v>
      </x:c>
      <x:c r="U120" s="18">
        <x:v>57273.18</x:v>
      </x:c>
      <x:c r="V120" s="20" t="n">
        <x:f t="array" ref="V120">0.15%</x:f>
        <x:v>0.0015</x:v>
      </x:c>
      <x:c r="W120" s="20" t="n">
        <x:f t="array" ref="W120">-0.05%</x:f>
        <x:v>-0.0005</x:v>
      </x:c>
      <x:c r="X120" s="20" t="n">
        <x:f t="array" ref="X120">-3.99%</x:f>
        <x:v>-0.039900000000000005</x:v>
      </x:c>
      <x:c r="Y120" s="20" t="n">
        <x:f t="array" ref="Y120">-4.66%</x:f>
        <x:v>-0.0466</x:v>
      </x:c>
      <x:c r="Z120" s="19" t="s">
        <x:v>266</x:v>
      </x:c>
      <x:c r="AA120" s="37" t="str">
        <x:v>Snapshot only — run GitHub workflow</x:v>
      </x:c>
      <x:c r="AB120" s="59" t="n">
        <x:f>IFERROR(H120/G120,"")</x:f>
        <x:v>1</x:v>
      </x:c>
      <x:c r="AC120" s="37" t="str"/>
      <x:c r="AD120" s="37" t="str"/>
      <x:c r="AE120" s="37" t="str"/>
      <x:c r="AF120" s="37" t="str"/>
      <x:c r="AG120" s="16"/>
      <x:c r="AH120" s="16"/>
    </x:row>
    <x:row r="121" ht="15.75" customHeight="1">
      <x:c r="A121" s="2" t="s">
        <x:v>299</x:v>
      </x:c>
      <x:c r="B121" s="2" t="s">
        <x:v>300</x:v>
      </x:c>
      <x:c r="C121" s="3" t="e">
        <x:f>HYPERLINK("https://scan.mypinata.cloud/ipfs/bafybeih3olry3is4e4lzm7rus5l3h6zrphcal5a7ayfkhzm5oivjro2cp4/#/address/0x0EB4EE7d5Ff28cbF68565A174f7E5e186c36B4b3", "0x0EB4EE7d5Ff28cbF68565A174f7E5e186c36B4b3")</x:f>
      </x:c>
      <x:c r="D121" s="4" t="str">
        <x:f t="shared" si="10"/>
        <x:v>Atropa Dev</x:v>
      </x:c>
      <x:c r="E121" s="4" t="e">
        <x:f>HYPERLINK("https://scan.mypinata.cloud/ipfs/bafybeih3olry3is4e4lzm7rus5l3h6zrphcal5a7ayfkhzm5oivjro2cp4/#/block/18525438", "18525438")</x:f>
      </x:c>
      <x:c r="F121" s="4" t="e">
        <x:f>HYPERLINK("https://scan.mypinata.cloud/ipfs/bafybeih3olry3is4e4lzm7rus5l3h6zrphcal5a7ayfkhzm5oivjro2cp4/#/tx/0xcb790a89f1c7579a9a124e6bf94f697174a8586592104d28e9a149d5fe17b9a8", "2023-10-09 12:00:45")</x:f>
      </x:c>
      <x:c r="G121" s="5">
        <x:v>1.0</x:v>
      </x:c>
      <x:c r="H121" s="5">
        <x:v>1.0</x:v>
      </x:c>
      <x:c r="I121" s="5">
        <x:v>0.9933097066603983</x:v>
      </x:c>
      <x:c r="J121" s="5">
        <x:v>0.0</x:v>
      </x:c>
      <x:c r="K121" s="5">
        <x:v>0.0066902933396016</x:v>
      </x:c>
      <x:c r="L121" s="2" t="s">
        <x:v>28</x:v>
      </x:c>
      <x:c r="M121" s="4" t="e">
        <x:f>HYPERLINK("https://scan.mypinata.cloud/ipfs/bafybeih3olry3is4e4lzm7rus5l3h6zrphcal5a7ayfkhzm5oivjro2cp4/#/tx/0xd3237d396b88cb8bb1cddf63e53ef1fd1477b2e8d502d6d909f167237edbdf4c", "2025-02-27 08:17:15")</x:f>
      </x:c>
      <x:c r="N121" s="2" t="e">
        <x:f>IFERROR(__xludf.DUMMYFUNCTION("IF(ISDATE(TO_DATE(L121)), MAX(0, ROUND(TODAY() - TO_DATE(L121)), 0), ""-"")"),"-")</x:f>
      </x:c>
      <x:c r="O121" s="2" t="e">
        <x:f>IFERROR(__xludf.DUMMYFUNCTION("IF(ISDATE(TO_DATE(M121)), MAX(0, ROUND(TODAY() - TO_DATE(M121)), 0), ""-"")"),491.0)</x:f>
      </x:c>
      <x:c r="P121" s="6">
        <x:v>687744.26</x:v>
      </x:c>
      <x:c r="Q121" s="6">
        <x:v>1.74439688136528E10</x:v>
      </x:c>
      <x:c r="R121" s="7">
        <x:v>687744.26</x:v>
      </x:c>
      <x:c r="S121" s="7">
        <x:v>683142.0</x:v>
      </x:c>
      <x:c r="T121" s="7">
        <x:v>2100.8799999999997</x:v>
      </x:c>
      <x:c r="U121" s="7">
        <x:v>427674.47000000003</x:v>
      </x:c>
      <x:c r="V121" s="2" t="s">
        <x:v>28</x:v>
      </x:c>
      <x:c r="W121" s="2" t="s">
        <x:v>28</x:v>
      </x:c>
      <x:c r="X121" s="2" t="s">
        <x:v>28</x:v>
      </x:c>
      <x:c r="Y121" s="2" t="s">
        <x:v>28</x:v>
      </x:c>
      <x:c r="Z121" s="9" t="s">
        <x:v>301</x:v>
      </x:c>
      <x:c r="AA121" s="57" t="str">
        <x:v>Snapshot only — run GitHub workflow</x:v>
      </x:c>
      <x:c r="AB121" s="58" t="n">
        <x:f>IFERROR(H121/G121,"")</x:f>
        <x:v>1</x:v>
      </x:c>
      <x:c r="AC121" s="57" t="str"/>
      <x:c r="AD121" s="57" t="str"/>
      <x:c r="AE121" s="57" t="str"/>
      <x:c r="AF121" s="57" t="str"/>
      <x:c r="AG121" s="2"/>
      <x:c r="AH121" s="2"/>
    </x:row>
    <x:row r="122" ht="15.75" customHeight="1">
      <x:c r="A122" s="12" t="s">
        <x:v>302</x:v>
      </x:c>
      <x:c r="B122" s="12">
        <x:v>666.0</x:v>
      </x:c>
      <x:c r="C122" s="13" t="e">
        <x:f>HYPERLINK("https://scan.mypinata.cloud/ipfs/bafybeih3olry3is4e4lzm7rus5l3h6zrphcal5a7ayfkhzm5oivjro2cp4/#/address/0xea0a3AE400B3F5657F865adEb705804c5D96294c", "0xea0a3AE400B3F5657F865adEb705804c5D96294c")</x:f>
      </x:c>
      <x:c r="D122" s="14" t="str">
        <x:f t="shared" si="10"/>
        <x:v>Atropa Dev</x:v>
      </x:c>
      <x:c r="E122" s="14" t="e">
        <x:f>HYPERLINK("https://scan.mypinata.cloud/ipfs/bafybeih3olry3is4e4lzm7rus5l3h6zrphcal5a7ayfkhzm5oivjro2cp4/#/block/18542324", "18542324")</x:f>
      </x:c>
      <x:c r="F122" s="14" t="e">
        <x:f>HYPERLINK("https://scan.mypinata.cloud/ipfs/bafybeih3olry3is4e4lzm7rus5l3h6zrphcal5a7ayfkhzm5oivjro2cp4/#/tx/0x6c50887f7cfa61e788475f1f0ecaa7b8b742c236e5deddde103993d4d671ce2e", "2023-10-11 11:16:25")</x:f>
      </x:c>
      <x:c r="G122" s="15">
        <x:v>666.0</x:v>
      </x:c>
      <x:c r="H122" s="15">
        <x:v>666.0</x:v>
      </x:c>
      <x:c r="I122" s="15">
        <x:v>666.0</x:v>
      </x:c>
      <x:c r="J122" s="15">
        <x:v>0.0</x:v>
      </x:c>
      <x:c r="K122" s="15">
        <x:v>0.0</x:v>
      </x:c>
      <x:c r="L122" s="16" t="s">
        <x:v>28</x:v>
      </x:c>
      <x:c r="M122" s="16" t="s">
        <x:v>28</x:v>
      </x:c>
      <x:c r="N122" s="16" t="e">
        <x:f>IFERROR(__xludf.DUMMYFUNCTION("IF(ISDATE(TO_DATE(L122)), MAX(0, ROUND(TODAY() - TO_DATE(L122)), 0), ""-"")"),"-")</x:f>
      </x:c>
      <x:c r="O122" s="16" t="e">
        <x:f>IFERROR(__xludf.DUMMYFUNCTION("IF(ISDATE(TO_DATE(M122)), MAX(0, ROUND(TODAY() - TO_DATE(M122)), 0), ""-"")"),"-")</x:f>
      </x:c>
      <x:c r="P122" s="17">
        <x:v>7.17</x:v>
      </x:c>
      <x:c r="Q122" s="17">
        <x:v>178137.7842</x:v>
      </x:c>
      <x:c r="R122" s="18">
        <x:v>4775.22</x:v>
      </x:c>
      <x:c r="S122" s="18">
        <x:v>4775.0</x:v>
      </x:c>
      <x:c r="T122" s="18">
        <x:v>7.77</x:v>
      </x:c>
      <x:c r="U122" s="18">
        <x:v>184.31</x:v>
      </x:c>
      <x:c r="V122" s="16" t="s">
        <x:v>28</x:v>
      </x:c>
      <x:c r="W122" s="16" t="s">
        <x:v>28</x:v>
      </x:c>
      <x:c r="X122" s="16" t="s">
        <x:v>28</x:v>
      </x:c>
      <x:c r="Y122" s="16" t="s">
        <x:v>28</x:v>
      </x:c>
      <x:c r="Z122" s="19" t="s">
        <x:v>301</x:v>
      </x:c>
      <x:c r="AA122" s="37" t="str">
        <x:v>Snapshot only — run GitHub workflow</x:v>
      </x:c>
      <x:c r="AB122" s="59" t="n">
        <x:f>IFERROR(H122/G122,"")</x:f>
        <x:v>1</x:v>
      </x:c>
      <x:c r="AC122" s="37" t="str"/>
      <x:c r="AD122" s="37" t="str"/>
      <x:c r="AE122" s="37" t="str"/>
      <x:c r="AF122" s="37" t="str"/>
      <x:c r="AG122" s="16"/>
      <x:c r="AH122" s="16"/>
    </x:row>
    <x:row r="123" ht="15.75" customHeight="1">
      <x:c r="A123" s="2" t="s">
        <x:v>303</x:v>
      </x:c>
      <x:c r="B123" s="2" t="s">
        <x:v>304</x:v>
      </x:c>
      <x:c r="C123" s="3" t="e">
        <x:f>HYPERLINK("https://scan.mypinata.cloud/ipfs/bafybeih3olry3is4e4lzm7rus5l3h6zrphcal5a7ayfkhzm5oivjro2cp4/#/address/0x37BC2807DD055c4bC85dd954A2ffa72e6857a110", "0x37BC2807DD055c4bC85dd954A2ffa72e6857a110")</x:f>
      </x:c>
      <x:c r="D123" s="4" t="str">
        <x:f t="shared" si="10"/>
        <x:v>Atropa Dev</x:v>
      </x:c>
      <x:c r="E123" s="4" t="e">
        <x:f>HYPERLINK("https://scan.mypinata.cloud/ipfs/bafybeih3olry3is4e4lzm7rus5l3h6zrphcal5a7ayfkhzm5oivjro2cp4/#/block/18554193", "18554193")</x:f>
      </x:c>
      <x:c r="F123" s="4" t="e">
        <x:f>HYPERLINK("https://scan.mypinata.cloud/ipfs/bafybeih3olry3is4e4lzm7rus5l3h6zrphcal5a7ayfkhzm5oivjro2cp4/#/tx/0xaff8c89bf905dc108772232e7d17e23e4023ae39ea92870485301ba1f52ad9e6", "2023-10-12 20:35:45")</x:f>
      </x:c>
      <x:c r="G123" s="5">
        <x:v>666.0</x:v>
      </x:c>
      <x:c r="H123" s="5">
        <x:v>666.0</x:v>
      </x:c>
      <x:c r="I123" s="5">
        <x:v>666.0</x:v>
      </x:c>
      <x:c r="J123" s="5">
        <x:v>0.0</x:v>
      </x:c>
      <x:c r="K123" s="5">
        <x:v>0.0</x:v>
      </x:c>
      <x:c r="L123" s="2" t="s">
        <x:v>28</x:v>
      </x:c>
      <x:c r="M123" s="2" t="s">
        <x:v>28</x:v>
      </x:c>
      <x:c r="N123" s="2" t="e">
        <x:f>IFERROR(__xludf.DUMMYFUNCTION("IF(ISDATE(TO_DATE(L123)), MAX(0, ROUND(TODAY() - TO_DATE(L123)), 0), ""-"")"),"-")</x:f>
      </x:c>
      <x:c r="O123" s="2" t="e">
        <x:f>IFERROR(__xludf.DUMMYFUNCTION("IF(ISDATE(TO_DATE(M123)), MAX(0, ROUND(TODAY() - TO_DATE(M123)), 0), ""-"")"),"-")</x:f>
      </x:c>
      <x:c r="P123" s="6">
        <x:v>7.46</x:v>
      </x:c>
      <x:c r="Q123" s="6">
        <x:v>188232.07622</x:v>
      </x:c>
      <x:c r="R123" s="7">
        <x:v>4968.36</x:v>
      </x:c>
      <x:c r="S123" s="7">
        <x:v>4971.0</x:v>
      </x:c>
      <x:c r="T123" s="7">
        <x:v>13.96</x:v>
      </x:c>
      <x:c r="U123" s="7">
        <x:v>427.34</x:v>
      </x:c>
      <x:c r="V123" s="2" t="s">
        <x:v>28</x:v>
      </x:c>
      <x:c r="W123" s="2" t="s">
        <x:v>28</x:v>
      </x:c>
      <x:c r="X123" s="2" t="s">
        <x:v>28</x:v>
      </x:c>
      <x:c r="Y123" s="2" t="s">
        <x:v>28</x:v>
      </x:c>
      <x:c r="Z123" s="9" t="s">
        <x:v>305</x:v>
      </x:c>
      <x:c r="AA123" s="57" t="str">
        <x:v>Snapshot only — run GitHub workflow</x:v>
      </x:c>
      <x:c r="AB123" s="58" t="n">
        <x:f>IFERROR(H123/G123,"")</x:f>
        <x:v>1</x:v>
      </x:c>
      <x:c r="AC123" s="57" t="str"/>
      <x:c r="AD123" s="57" t="str"/>
      <x:c r="AE123" s="57" t="str"/>
      <x:c r="AF123" s="57" t="str"/>
      <x:c r="AG123" s="2"/>
      <x:c r="AH123" s="2"/>
    </x:row>
    <x:row r="124" ht="15.75" customHeight="1">
      <x:c r="A124" s="2" t="s">
        <x:v>306</x:v>
      </x:c>
      <x:c r="B124" s="2" t="s">
        <x:v>307</x:v>
      </x:c>
      <x:c r="C124" s="3" t="e">
        <x:f>HYPERLINK("https://scan.mypinata.cloud/ipfs/bafybeih3olry3is4e4lzm7rus5l3h6zrphcal5a7ayfkhzm5oivjro2cp4/#/address/0x50211Aa4D3d4880B5B80F683e27Dd185e11C306C", "0x50211Aa4D3d4880B5B80F683e27Dd185e11C306C")</x:f>
      </x:c>
      <x:c r="D124" s="4" t="str">
        <x:f t="shared" si="10"/>
        <x:v>Atropa Dev</x:v>
      </x:c>
      <x:c r="E124" s="4" t="e">
        <x:f>HYPERLINK("https://scan.mypinata.cloud/ipfs/bafybeih3olry3is4e4lzm7rus5l3h6zrphcal5a7ayfkhzm5oivjro2cp4/#/block/18563299", "18563299")</x:f>
      </x:c>
      <x:c r="F124" s="4" t="e">
        <x:f>HYPERLINK("https://scan.mypinata.cloud/ipfs/bafybeih3olry3is4e4lzm7rus5l3h6zrphcal5a7ayfkhzm5oivjro2cp4/#/tx/0xfb777a122d5f3aa336d188fee08b1cba38b623c7fd2bf6e6edc08a8b1e7b4e73", "2023-10-13 22:11:45")</x:f>
      </x:c>
      <x:c r="G124" s="5">
        <x:v>0.0</x:v>
      </x:c>
      <x:c r="H124" s="5">
        <x:v>0.0</x:v>
      </x:c>
      <x:c r="I124" s="5">
        <x:v>0.0</x:v>
      </x:c>
      <x:c r="J124" s="5">
        <x:v>0.0</x:v>
      </x:c>
      <x:c r="K124" s="5">
        <x:v>0.0</x:v>
      </x:c>
      <x:c r="L124" s="2" t="s">
        <x:v>28</x:v>
      </x:c>
      <x:c r="M124" s="2" t="s">
        <x:v>28</x:v>
      </x:c>
      <x:c r="N124" s="2" t="e">
        <x:f>IFERROR(__xludf.DUMMYFUNCTION("IF(ISDATE(TO_DATE(L124)), MAX(0, ROUND(TODAY() - TO_DATE(L124)), 0), ""-"")"),"-")</x:f>
      </x:c>
      <x:c r="O124" s="2" t="e">
        <x:f>IFERROR(__xludf.DUMMYFUNCTION("IF(ISDATE(TO_DATE(M124)), MAX(0, ROUND(TODAY() - TO_DATE(M124)), 0), ""-"")"),"-")</x:f>
      </x:c>
      <x:c r="P124" s="2" t="s">
        <x:v>28</x:v>
      </x:c>
      <x:c r="Q124" s="2" t="s">
        <x:v>28</x:v>
      </x:c>
      <x:c r="R124" s="2" t="s">
        <x:v>28</x:v>
      </x:c>
      <x:c r="S124" s="2" t="s">
        <x:v>28</x:v>
      </x:c>
      <x:c r="T124" s="2" t="s">
        <x:v>28</x:v>
      </x:c>
      <x:c r="U124" s="2" t="s">
        <x:v>28</x:v>
      </x:c>
      <x:c r="V124" s="2" t="s">
        <x:v>28</x:v>
      </x:c>
      <x:c r="W124" s="2" t="s">
        <x:v>28</x:v>
      </x:c>
      <x:c r="X124" s="2" t="s">
        <x:v>28</x:v>
      </x:c>
      <x:c r="Y124" s="2" t="s">
        <x:v>28</x:v>
      </x:c>
      <x:c r="Z124" s="9" t="s">
        <x:v>308</x:v>
      </x:c>
      <x:c r="AA124" s="57" t="str">
        <x:v>Snapshot only — run GitHub workflow</x:v>
      </x:c>
      <x:c r="AB124" s="58" t="str">
        <x:f>IFERROR(H124/G124,"")</x:f>
      </x:c>
      <x:c r="AC124" s="57" t="str"/>
      <x:c r="AD124" s="57" t="str"/>
      <x:c r="AE124" s="57" t="str"/>
      <x:c r="AF124" s="57" t="str"/>
      <x:c r="AG124" s="2"/>
      <x:c r="AH124" s="2"/>
    </x:row>
    <x:row r="125" ht="15.75" customHeight="1">
      <x:c r="A125" s="2" t="s">
        <x:v>306</x:v>
      </x:c>
      <x:c r="B125" s="2" t="s">
        <x:v>307</x:v>
      </x:c>
      <x:c r="C125" s="3" t="e">
        <x:f>HYPERLINK("https://scan.mypinata.cloud/ipfs/bafybeih3olry3is4e4lzm7rus5l3h6zrphcal5a7ayfkhzm5oivjro2cp4/#/address/0x85b22505fD17a9C5003Cd48476c7BC61Da522445", "0x85b22505fD17a9C5003Cd48476c7BC61Da522445")</x:f>
      </x:c>
      <x:c r="D125" s="4" t="str">
        <x:f t="shared" si="10"/>
        <x:v>Atropa Dev</x:v>
      </x:c>
      <x:c r="E125" s="4" t="e">
        <x:f>HYPERLINK("https://scan.mypinata.cloud/ipfs/bafybeih3olry3is4e4lzm7rus5l3h6zrphcal5a7ayfkhzm5oivjro2cp4/#/block/18563404", "18563404")</x:f>
      </x:c>
      <x:c r="F125" s="4" t="e">
        <x:f>HYPERLINK("https://scan.mypinata.cloud/ipfs/bafybeih3olry3is4e4lzm7rus5l3h6zrphcal5a7ayfkhzm5oivjro2cp4/#/tx/0xe5ca661188e767959afa5c99b2e00e88cd424e208ee8f03ab9bab513ab604c29", "2023-10-13 22:29:25")</x:f>
      </x:c>
      <x:c r="G125" s="5">
        <x:v>0.0</x:v>
      </x:c>
      <x:c r="H125" s="5">
        <x:v>0.0</x:v>
      </x:c>
      <x:c r="I125" s="5">
        <x:v>0.0</x:v>
      </x:c>
      <x:c r="J125" s="5">
        <x:v>0.0</x:v>
      </x:c>
      <x:c r="K125" s="5">
        <x:v>0.0</x:v>
      </x:c>
      <x:c r="L125" s="2" t="s">
        <x:v>28</x:v>
      </x:c>
      <x:c r="M125" s="2" t="s">
        <x:v>28</x:v>
      </x:c>
      <x:c r="N125" s="2" t="e">
        <x:f>IFERROR(__xludf.DUMMYFUNCTION("IF(ISDATE(TO_DATE(L125)), MAX(0, ROUND(TODAY() - TO_DATE(L125)), 0), ""-"")"),"-")</x:f>
      </x:c>
      <x:c r="O125" s="2" t="e">
        <x:f>IFERROR(__xludf.DUMMYFUNCTION("IF(ISDATE(TO_DATE(M125)), MAX(0, ROUND(TODAY() - TO_DATE(M125)), 0), ""-"")"),"-")</x:f>
      </x:c>
      <x:c r="P125" s="2" t="s">
        <x:v>28</x:v>
      </x:c>
      <x:c r="Q125" s="2" t="s">
        <x:v>28</x:v>
      </x:c>
      <x:c r="R125" s="2" t="s">
        <x:v>28</x:v>
      </x:c>
      <x:c r="S125" s="2" t="s">
        <x:v>28</x:v>
      </x:c>
      <x:c r="T125" s="2" t="s">
        <x:v>28</x:v>
      </x:c>
      <x:c r="U125" s="2" t="s">
        <x:v>28</x:v>
      </x:c>
      <x:c r="V125" s="2" t="s">
        <x:v>28</x:v>
      </x:c>
      <x:c r="W125" s="2" t="s">
        <x:v>28</x:v>
      </x:c>
      <x:c r="X125" s="2" t="s">
        <x:v>28</x:v>
      </x:c>
      <x:c r="Y125" s="2" t="s">
        <x:v>28</x:v>
      </x:c>
      <x:c r="Z125" s="9" t="s">
        <x:v>309</x:v>
      </x:c>
      <x:c r="AA125" s="57" t="str">
        <x:v>Snapshot only — run GitHub workflow</x:v>
      </x:c>
      <x:c r="AB125" s="58" t="str">
        <x:f>IFERROR(H125/G125,"")</x:f>
      </x:c>
      <x:c r="AC125" s="57" t="str"/>
      <x:c r="AD125" s="57" t="str"/>
      <x:c r="AE125" s="57" t="str"/>
      <x:c r="AF125" s="57" t="str"/>
      <x:c r="AG125" s="2"/>
      <x:c r="AH125" s="2"/>
    </x:row>
    <x:row r="126" ht="15.75" customHeight="1">
      <x:c r="A126" s="2" t="s">
        <x:v>306</x:v>
      </x:c>
      <x:c r="B126" s="2" t="s">
        <x:v>307</x:v>
      </x:c>
      <x:c r="C126" s="3" t="e">
        <x:f>HYPERLINK("https://scan.mypinata.cloud/ipfs/bafybeih3olry3is4e4lzm7rus5l3h6zrphcal5a7ayfkhzm5oivjro2cp4/#/address/0xB30099ee83FE52cD80fF37F7808e1EedE0830122", "0xB30099ee83FE52cD80fF37F7808e1EedE0830122")</x:f>
      </x:c>
      <x:c r="D126" s="4" t="str">
        <x:f t="shared" si="10"/>
        <x:v>Atropa Dev</x:v>
      </x:c>
      <x:c r="E126" s="4" t="e">
        <x:f>HYPERLINK("https://scan.mypinata.cloud/ipfs/bafybeih3olry3is4e4lzm7rus5l3h6zrphcal5a7ayfkhzm5oivjro2cp4/#/block/18563431", "18563431")</x:f>
      </x:c>
      <x:c r="F126" s="4" t="e">
        <x:f>HYPERLINK("https://scan.mypinata.cloud/ipfs/bafybeih3olry3is4e4lzm7rus5l3h6zrphcal5a7ayfkhzm5oivjro2cp4/#/tx/0xa43ee494d61b94140610028a3994436c7f6fe737e8cb746abb3744dfea37d596", "2023-10-13 22:33:55")</x:f>
      </x:c>
      <x:c r="G126" s="5">
        <x:v>0.0</x:v>
      </x:c>
      <x:c r="H126" s="5">
        <x:v>0.0</x:v>
      </x:c>
      <x:c r="I126" s="5">
        <x:v>0.0</x:v>
      </x:c>
      <x:c r="J126" s="5">
        <x:v>0.0</x:v>
      </x:c>
      <x:c r="K126" s="5">
        <x:v>0.0</x:v>
      </x:c>
      <x:c r="L126" s="2" t="s">
        <x:v>28</x:v>
      </x:c>
      <x:c r="M126" s="2" t="s">
        <x:v>28</x:v>
      </x:c>
      <x:c r="N126" s="2" t="e">
        <x:f>IFERROR(__xludf.DUMMYFUNCTION("IF(ISDATE(TO_DATE(L126)), MAX(0, ROUND(TODAY() - TO_DATE(L126)), 0), ""-"")"),"-")</x:f>
      </x:c>
      <x:c r="O126" s="2" t="e">
        <x:f>IFERROR(__xludf.DUMMYFUNCTION("IF(ISDATE(TO_DATE(M126)), MAX(0, ROUND(TODAY() - TO_DATE(M126)), 0), ""-"")"),"-")</x:f>
      </x:c>
      <x:c r="P126" s="2" t="s">
        <x:v>28</x:v>
      </x:c>
      <x:c r="Q126" s="2" t="s">
        <x:v>28</x:v>
      </x:c>
      <x:c r="R126" s="2" t="s">
        <x:v>28</x:v>
      </x:c>
      <x:c r="S126" s="2" t="s">
        <x:v>28</x:v>
      </x:c>
      <x:c r="T126" s="2" t="s">
        <x:v>28</x:v>
      </x:c>
      <x:c r="U126" s="2" t="s">
        <x:v>28</x:v>
      </x:c>
      <x:c r="V126" s="2" t="s">
        <x:v>28</x:v>
      </x:c>
      <x:c r="W126" s="2" t="s">
        <x:v>28</x:v>
      </x:c>
      <x:c r="X126" s="2" t="s">
        <x:v>28</x:v>
      </x:c>
      <x:c r="Y126" s="2" t="s">
        <x:v>28</x:v>
      </x:c>
      <x:c r="Z126" s="9" t="s">
        <x:v>309</x:v>
      </x:c>
      <x:c r="AA126" s="57" t="str">
        <x:v>Snapshot only — run GitHub workflow</x:v>
      </x:c>
      <x:c r="AB126" s="58" t="str">
        <x:f>IFERROR(H126/G126,"")</x:f>
      </x:c>
      <x:c r="AC126" s="57" t="str"/>
      <x:c r="AD126" s="57" t="str"/>
      <x:c r="AE126" s="57" t="str"/>
      <x:c r="AF126" s="57" t="str"/>
      <x:c r="AG126" s="2"/>
      <x:c r="AH126" s="2"/>
    </x:row>
    <x:row r="127" ht="15.75" customHeight="1">
      <x:c r="A127" s="2" t="s">
        <x:v>306</x:v>
      </x:c>
      <x:c r="B127" s="2" t="s">
        <x:v>307</x:v>
      </x:c>
      <x:c r="C127" s="3" t="e">
        <x:f>HYPERLINK("https://scan.mypinata.cloud/ipfs/bafybeih3olry3is4e4lzm7rus5l3h6zrphcal5a7ayfkhzm5oivjro2cp4/#/address/0x084B547a779F4ebC10aA3960459FF8C43c372255", "0x084B547a779F4ebC10aA3960459FF8C43c372255")</x:f>
      </x:c>
      <x:c r="D127" s="4" t="str">
        <x:f t="shared" si="10"/>
        <x:v>Atropa Dev</x:v>
      </x:c>
      <x:c r="E127" s="4" t="e">
        <x:f>HYPERLINK("https://scan.mypinata.cloud/ipfs/bafybeih3olry3is4e4lzm7rus5l3h6zrphcal5a7ayfkhzm5oivjro2cp4/#/block/18563477", "18563477")</x:f>
      </x:c>
      <x:c r="F127" s="4" t="e">
        <x:f>HYPERLINK("https://scan.mypinata.cloud/ipfs/bafybeih3olry3is4e4lzm7rus5l3h6zrphcal5a7ayfkhzm5oivjro2cp4/#/tx/0x6057f72e8eb0f489280a9fb00568ff7721ca370520a99fb5ba82fb429f0dfa16", "2023-10-13 22:41:35")</x:f>
      </x:c>
      <x:c r="G127" s="5">
        <x:v>0.0</x:v>
      </x:c>
      <x:c r="H127" s="5">
        <x:v>0.0</x:v>
      </x:c>
      <x:c r="I127" s="5">
        <x:v>0.0</x:v>
      </x:c>
      <x:c r="J127" s="5">
        <x:v>0.0</x:v>
      </x:c>
      <x:c r="K127" s="5">
        <x:v>0.0</x:v>
      </x:c>
      <x:c r="L127" s="2" t="s">
        <x:v>28</x:v>
      </x:c>
      <x:c r="M127" s="2" t="s">
        <x:v>28</x:v>
      </x:c>
      <x:c r="N127" s="2" t="e">
        <x:f>IFERROR(__xludf.DUMMYFUNCTION("IF(ISDATE(TO_DATE(L127)), MAX(0, ROUND(TODAY() - TO_DATE(L127)), 0), ""-"")"),"-")</x:f>
      </x:c>
      <x:c r="O127" s="2" t="e">
        <x:f>IFERROR(__xludf.DUMMYFUNCTION("IF(ISDATE(TO_DATE(M127)), MAX(0, ROUND(TODAY() - TO_DATE(M127)), 0), ""-"")"),"-")</x:f>
      </x:c>
      <x:c r="P127" s="2" t="s">
        <x:v>28</x:v>
      </x:c>
      <x:c r="Q127" s="2" t="s">
        <x:v>28</x:v>
      </x:c>
      <x:c r="R127" s="2" t="s">
        <x:v>28</x:v>
      </x:c>
      <x:c r="S127" s="2" t="s">
        <x:v>28</x:v>
      </x:c>
      <x:c r="T127" s="2" t="s">
        <x:v>28</x:v>
      </x:c>
      <x:c r="U127" s="2" t="s">
        <x:v>28</x:v>
      </x:c>
      <x:c r="V127" s="2" t="s">
        <x:v>28</x:v>
      </x:c>
      <x:c r="W127" s="2" t="s">
        <x:v>28</x:v>
      </x:c>
      <x:c r="X127" s="2" t="s">
        <x:v>28</x:v>
      </x:c>
      <x:c r="Y127" s="2" t="s">
        <x:v>28</x:v>
      </x:c>
      <x:c r="Z127" s="9" t="s">
        <x:v>309</x:v>
      </x:c>
      <x:c r="AA127" s="57" t="str">
        <x:v>Snapshot only — run GitHub workflow</x:v>
      </x:c>
      <x:c r="AB127" s="58" t="str">
        <x:f>IFERROR(H127/G127,"")</x:f>
      </x:c>
      <x:c r="AC127" s="57" t="str"/>
      <x:c r="AD127" s="57" t="str"/>
      <x:c r="AE127" s="57" t="str"/>
      <x:c r="AF127" s="57" t="str"/>
      <x:c r="AG127" s="2"/>
      <x:c r="AH127" s="2"/>
    </x:row>
    <x:row r="128" ht="15.75" customHeight="1">
      <x:c r="A128" s="2" t="s">
        <x:v>310</x:v>
      </x:c>
      <x:c r="B128" s="2" t="s">
        <x:v>311</x:v>
      </x:c>
      <x:c r="C128" s="3" t="e">
        <x:f>HYPERLINK("https://scan.mypinata.cloud/ipfs/bafybeih3olry3is4e4lzm7rus5l3h6zrphcal5a7ayfkhzm5oivjro2cp4/#/address/0x9A4bd1D5C231fb8BF9c242f517Ec3Bb174d6Ac60", "0x9A4bd1D5C231fb8BF9c242f517Ec3Bb174d6Ac60")</x:f>
      </x:c>
      <x:c r="D128" s="4" t="str">
        <x:f t="shared" si="10"/>
        <x:v>Atropa Dev</x:v>
      </x:c>
      <x:c r="E128" s="4" t="e">
        <x:f>HYPERLINK("https://scan.mypinata.cloud/ipfs/bafybeih3olry3is4e4lzm7rus5l3h6zrphcal5a7ayfkhzm5oivjro2cp4/#/block/18563531", "18563531")</x:f>
      </x:c>
      <x:c r="F128" s="4" t="e">
        <x:f>HYPERLINK("https://scan.mypinata.cloud/ipfs/bafybeih3olry3is4e4lzm7rus5l3h6zrphcal5a7ayfkhzm5oivjro2cp4/#/tx/0x3dc48b7278f8772d409fe8b20747aa0bcb769fc42d3c90ad12cf7ed03a8f9b82", "2023-10-13 22:50:35")</x:f>
      </x:c>
      <x:c r="G128" s="5">
        <x:v>0.0</x:v>
      </x:c>
      <x:c r="H128" s="5">
        <x:v>0.0</x:v>
      </x:c>
      <x:c r="I128" s="5">
        <x:v>0.0</x:v>
      </x:c>
      <x:c r="J128" s="5">
        <x:v>0.0</x:v>
      </x:c>
      <x:c r="K128" s="5">
        <x:v>0.0</x:v>
      </x:c>
      <x:c r="L128" s="2" t="s">
        <x:v>28</x:v>
      </x:c>
      <x:c r="M128" s="2" t="s">
        <x:v>28</x:v>
      </x:c>
      <x:c r="N128" s="2" t="e">
        <x:f>IFERROR(__xludf.DUMMYFUNCTION("IF(ISDATE(TO_DATE(L128)), MAX(0, ROUND(TODAY() - TO_DATE(L128)), 0), ""-"")"),"-")</x:f>
      </x:c>
      <x:c r="O128" s="2" t="e">
        <x:f>IFERROR(__xludf.DUMMYFUNCTION("IF(ISDATE(TO_DATE(M128)), MAX(0, ROUND(TODAY() - TO_DATE(M128)), 0), ""-"")"),"-")</x:f>
      </x:c>
      <x:c r="P128" s="2" t="s">
        <x:v>28</x:v>
      </x:c>
      <x:c r="Q128" s="2" t="s">
        <x:v>28</x:v>
      </x:c>
      <x:c r="R128" s="2" t="s">
        <x:v>28</x:v>
      </x:c>
      <x:c r="S128" s="2" t="s">
        <x:v>28</x:v>
      </x:c>
      <x:c r="T128" s="2" t="s">
        <x:v>28</x:v>
      </x:c>
      <x:c r="U128" s="2" t="s">
        <x:v>28</x:v>
      </x:c>
      <x:c r="V128" s="2" t="s">
        <x:v>28</x:v>
      </x:c>
      <x:c r="W128" s="2" t="s">
        <x:v>28</x:v>
      </x:c>
      <x:c r="X128" s="2" t="s">
        <x:v>28</x:v>
      </x:c>
      <x:c r="Y128" s="2" t="s">
        <x:v>28</x:v>
      </x:c>
      <x:c r="Z128" s="9" t="s">
        <x:v>309</x:v>
      </x:c>
      <x:c r="AA128" s="57" t="str">
        <x:v>Snapshot only — run GitHub workflow</x:v>
      </x:c>
      <x:c r="AB128" s="58" t="str">
        <x:f>IFERROR(H128/G128,"")</x:f>
      </x:c>
      <x:c r="AC128" s="57" t="str"/>
      <x:c r="AD128" s="57" t="str"/>
      <x:c r="AE128" s="57" t="str"/>
      <x:c r="AF128" s="57" t="str"/>
      <x:c r="AG128" s="2"/>
      <x:c r="AH128" s="2"/>
    </x:row>
    <x:row r="129" ht="15.75" customHeight="1">
      <x:c r="A129" s="2" t="s">
        <x:v>310</x:v>
      </x:c>
      <x:c r="B129" s="2" t="s">
        <x:v>311</x:v>
      </x:c>
      <x:c r="C129" s="3" t="e">
        <x:f>HYPERLINK("https://scan.mypinata.cloud/ipfs/bafybeih3olry3is4e4lzm7rus5l3h6zrphcal5a7ayfkhzm5oivjro2cp4/#/address/0x8b8d5A3B5dFe072F10ff928Bb28fb2036b31A6b1", "0x8b8d5A3B5dFe072F10ff928Bb28fb2036b31A6b1")</x:f>
      </x:c>
      <x:c r="D129" s="4" t="str">
        <x:f t="shared" si="10"/>
        <x:v>Atropa Dev</x:v>
      </x:c>
      <x:c r="E129" s="4" t="e">
        <x:f>HYPERLINK("https://scan.mypinata.cloud/ipfs/bafybeih3olry3is4e4lzm7rus5l3h6zrphcal5a7ayfkhzm5oivjro2cp4/#/block/18563542", "18563542")</x:f>
      </x:c>
      <x:c r="F129" s="4" t="e">
        <x:f>HYPERLINK("https://scan.mypinata.cloud/ipfs/bafybeih3olry3is4e4lzm7rus5l3h6zrphcal5a7ayfkhzm5oivjro2cp4/#/tx/0xf1a97fc79aabc4c506d1356d91fea094643c4cc733ae45fce16382ab86af77aa", "2023-10-13 22:52:35")</x:f>
      </x:c>
      <x:c r="G129" s="5">
        <x:v>0.0</x:v>
      </x:c>
      <x:c r="H129" s="5">
        <x:v>0.0</x:v>
      </x:c>
      <x:c r="I129" s="5">
        <x:v>0.0</x:v>
      </x:c>
      <x:c r="J129" s="5">
        <x:v>0.0</x:v>
      </x:c>
      <x:c r="K129" s="5">
        <x:v>0.0</x:v>
      </x:c>
      <x:c r="L129" s="2" t="s">
        <x:v>28</x:v>
      </x:c>
      <x:c r="M129" s="2" t="s">
        <x:v>28</x:v>
      </x:c>
      <x:c r="N129" s="2" t="e">
        <x:f>IFERROR(__xludf.DUMMYFUNCTION("IF(ISDATE(TO_DATE(L129)), MAX(0, ROUND(TODAY() - TO_DATE(L129)), 0), ""-"")"),"-")</x:f>
      </x:c>
      <x:c r="O129" s="2" t="e">
        <x:f>IFERROR(__xludf.DUMMYFUNCTION("IF(ISDATE(TO_DATE(M129)), MAX(0, ROUND(TODAY() - TO_DATE(M129)), 0), ""-"")"),"-")</x:f>
      </x:c>
      <x:c r="P129" s="2" t="s">
        <x:v>28</x:v>
      </x:c>
      <x:c r="Q129" s="2" t="s">
        <x:v>28</x:v>
      </x:c>
      <x:c r="R129" s="2" t="s">
        <x:v>28</x:v>
      </x:c>
      <x:c r="S129" s="2" t="s">
        <x:v>28</x:v>
      </x:c>
      <x:c r="T129" s="2" t="s">
        <x:v>28</x:v>
      </x:c>
      <x:c r="U129" s="2" t="s">
        <x:v>28</x:v>
      </x:c>
      <x:c r="V129" s="2" t="s">
        <x:v>28</x:v>
      </x:c>
      <x:c r="W129" s="2" t="s">
        <x:v>28</x:v>
      </x:c>
      <x:c r="X129" s="2" t="s">
        <x:v>28</x:v>
      </x:c>
      <x:c r="Y129" s="2" t="s">
        <x:v>28</x:v>
      </x:c>
      <x:c r="Z129" s="9" t="s">
        <x:v>312</x:v>
      </x:c>
      <x:c r="AA129" s="57" t="str">
        <x:v>Snapshot only — run GitHub workflow</x:v>
      </x:c>
      <x:c r="AB129" s="58" t="str">
        <x:f>IFERROR(H129/G129,"")</x:f>
      </x:c>
      <x:c r="AC129" s="57" t="str"/>
      <x:c r="AD129" s="57" t="str"/>
      <x:c r="AE129" s="57" t="str"/>
      <x:c r="AF129" s="57" t="str"/>
      <x:c r="AG129" s="2"/>
      <x:c r="AH129" s="2"/>
    </x:row>
    <x:row r="130" ht="15.75" customHeight="1">
      <x:c r="A130" s="2" t="s">
        <x:v>310</x:v>
      </x:c>
      <x:c r="B130" s="2" t="s">
        <x:v>311</x:v>
      </x:c>
      <x:c r="C130" s="3" t="e">
        <x:f>HYPERLINK("https://scan.mypinata.cloud/ipfs/bafybeih3olry3is4e4lzm7rus5l3h6zrphcal5a7ayfkhzm5oivjro2cp4/#/address/0x3815D67214216EC3683652c6f1DA4fD99F677d0b", "0x3815D67214216EC3683652c6f1DA4fD99F677d0b")</x:f>
      </x:c>
      <x:c r="D130" s="4" t="str">
        <x:f t="shared" si="10"/>
        <x:v>Atropa Dev</x:v>
      </x:c>
      <x:c r="E130" s="4" t="e">
        <x:f>HYPERLINK("https://scan.mypinata.cloud/ipfs/bafybeih3olry3is4e4lzm7rus5l3h6zrphcal5a7ayfkhzm5oivjro2cp4/#/block/18563609", "18563609")</x:f>
      </x:c>
      <x:c r="F130" s="4" t="e">
        <x:f>HYPERLINK("https://scan.mypinata.cloud/ipfs/bafybeih3olry3is4e4lzm7rus5l3h6zrphcal5a7ayfkhzm5oivjro2cp4/#/tx/0xd8750b87696c0357ddb9e34978323742d70a47cd16cf43d0740f476803163cdf", "2023-10-13 23:03:55")</x:f>
      </x:c>
      <x:c r="G130" s="5">
        <x:v>0.0</x:v>
      </x:c>
      <x:c r="H130" s="5">
        <x:v>25418.5</x:v>
      </x:c>
      <x:c r="I130" s="5">
        <x:v>25043.02</x:v>
      </x:c>
      <x:c r="J130" s="5">
        <x:v>2.504302E17</x:v>
      </x:c>
      <x:c r="K130" s="5">
        <x:v>375.48</x:v>
      </x:c>
      <x:c r="L130" s="4" t="e">
        <x:f>HYPERLINK("https://scan.mypinata.cloud/ipfs/bafybeih3olry3is4e4lzm7rus5l3h6zrphcal5a7ayfkhzm5oivjro2cp4/#/tx/0xaf4c15184ecffe4827f308f7fd12794ea6a174d9558b91db9b332f14d17375a5", "2025-01-02 21:44:15")</x:f>
      </x:c>
      <x:c r="M130" s="4" t="e">
        <x:f>HYPERLINK("https://scan.mypinata.cloud/ipfs/bafybeih3olry3is4e4lzm7rus5l3h6zrphcal5a7ayfkhzm5oivjro2cp4/#/tx/0xe5d97e5bead1d79b0bf32a128f0416a40dcdaa0a1d0cd621a23487392c05d5b2", "2024-07-25 19:51:35")</x:f>
      </x:c>
      <x:c r="N130" s="2" t="e">
        <x:f>IFERROR(__xludf.DUMMYFUNCTION("IF(ISDATE(TO_DATE(L130)), MAX(0, ROUND(TODAY() - TO_DATE(L130)), 0), ""-"")"),546.0)</x:f>
      </x:c>
      <x:c r="O130" s="2" t="e">
        <x:f>IFERROR(__xludf.DUMMYFUNCTION("IF(ISDATE(TO_DATE(M130)), MAX(0, ROUND(TODAY() - TO_DATE(M130)), 0), ""-"")"),707.0)</x:f>
      </x:c>
      <x:c r="P130" s="2" t="s">
        <x:v>28</x:v>
      </x:c>
      <x:c r="Q130" s="2" t="s">
        <x:v>28</x:v>
      </x:c>
      <x:c r="R130" s="2" t="s">
        <x:v>28</x:v>
      </x:c>
      <x:c r="S130" s="2" t="s">
        <x:v>28</x:v>
      </x:c>
      <x:c r="T130" s="2" t="s">
        <x:v>28</x:v>
      </x:c>
      <x:c r="U130" s="2" t="s">
        <x:v>28</x:v>
      </x:c>
      <x:c r="V130" s="2" t="s">
        <x:v>28</x:v>
      </x:c>
      <x:c r="W130" s="2" t="s">
        <x:v>28</x:v>
      </x:c>
      <x:c r="X130" s="2" t="s">
        <x:v>28</x:v>
      </x:c>
      <x:c r="Y130" s="2" t="s">
        <x:v>28</x:v>
      </x:c>
      <x:c r="Z130" s="9" t="s">
        <x:v>313</x:v>
      </x:c>
      <x:c r="AA130" s="57" t="str">
        <x:v>Snapshot only — run GitHub workflow</x:v>
      </x:c>
      <x:c r="AB130" s="58" t="str">
        <x:f>IFERROR(H130/G130,"")</x:f>
      </x:c>
      <x:c r="AC130" s="57" t="str"/>
      <x:c r="AD130" s="57" t="str"/>
      <x:c r="AE130" s="57" t="str"/>
      <x:c r="AF130" s="57" t="str"/>
      <x:c r="AG130" s="2"/>
      <x:c r="AH130" s="2"/>
    </x:row>
    <x:row r="131" ht="15.75" customHeight="1">
      <x:c r="A131" s="2" t="s">
        <x:v>306</x:v>
      </x:c>
      <x:c r="B131" s="2" t="s">
        <x:v>307</x:v>
      </x:c>
      <x:c r="C131" s="3" t="e">
        <x:f>HYPERLINK("https://scan.mypinata.cloud/ipfs/bafybeih3olry3is4e4lzm7rus5l3h6zrphcal5a7ayfkhzm5oivjro2cp4/#/address/0x15975f7bbD7A3a6355C6c5ADbef9A8d37C104606", "0x15975f7bbD7A3a6355C6c5ADbef9A8d37C104606")</x:f>
      </x:c>
      <x:c r="D131" s="4" t="str">
        <x:f t="shared" si="10"/>
        <x:v>Atropa Dev</x:v>
      </x:c>
      <x:c r="E131" s="4" t="e">
        <x:f>HYPERLINK("https://scan.mypinata.cloud/ipfs/bafybeih3olry3is4e4lzm7rus5l3h6zrphcal5a7ayfkhzm5oivjro2cp4/#/block/18568435", "18568435")</x:f>
      </x:c>
      <x:c r="F131" s="4" t="e">
        <x:f>HYPERLINK("https://scan.mypinata.cloud/ipfs/bafybeih3olry3is4e4lzm7rus5l3h6zrphcal5a7ayfkhzm5oivjro2cp4/#/tx/0x7d71c45a5659ef0a86a310029e682d5d1d0d21737101fa665a7c9811310e76d0", "2023-10-14 12:41:35")</x:f>
      </x:c>
      <x:c r="G131" s="5">
        <x:v>0.0</x:v>
      </x:c>
      <x:c r="H131" s="5">
        <x:v>0.0</x:v>
      </x:c>
      <x:c r="I131" s="5">
        <x:v>0.0</x:v>
      </x:c>
      <x:c r="J131" s="5">
        <x:v>0.0</x:v>
      </x:c>
      <x:c r="K131" s="5">
        <x:v>0.0</x:v>
      </x:c>
      <x:c r="L131" s="2" t="s">
        <x:v>28</x:v>
      </x:c>
      <x:c r="M131" s="2" t="s">
        <x:v>28</x:v>
      </x:c>
      <x:c r="N131" s="2" t="e">
        <x:f>IFERROR(__xludf.DUMMYFUNCTION("IF(ISDATE(TO_DATE(L131)), MAX(0, ROUND(TODAY() - TO_DATE(L131)), 0), ""-"")"),"-")</x:f>
      </x:c>
      <x:c r="O131" s="2" t="e">
        <x:f>IFERROR(__xludf.DUMMYFUNCTION("IF(ISDATE(TO_DATE(M131)), MAX(0, ROUND(TODAY() - TO_DATE(M131)), 0), ""-"")"),"-")</x:f>
      </x:c>
      <x:c r="P131" s="2" t="s">
        <x:v>28</x:v>
      </x:c>
      <x:c r="Q131" s="2" t="s">
        <x:v>28</x:v>
      </x:c>
      <x:c r="R131" s="2" t="s">
        <x:v>28</x:v>
      </x:c>
      <x:c r="S131" s="2" t="s">
        <x:v>28</x:v>
      </x:c>
      <x:c r="T131" s="2" t="s">
        <x:v>28</x:v>
      </x:c>
      <x:c r="U131" s="2" t="s">
        <x:v>28</x:v>
      </x:c>
      <x:c r="V131" s="2" t="s">
        <x:v>28</x:v>
      </x:c>
      <x:c r="W131" s="2" t="s">
        <x:v>28</x:v>
      </x:c>
      <x:c r="X131" s="2" t="s">
        <x:v>28</x:v>
      </x:c>
      <x:c r="Y131" s="2" t="s">
        <x:v>28</x:v>
      </x:c>
      <x:c r="Z131" s="9" t="s">
        <x:v>312</x:v>
      </x:c>
      <x:c r="AA131" s="57" t="str">
        <x:v>Snapshot only — run GitHub workflow</x:v>
      </x:c>
      <x:c r="AB131" s="58" t="str">
        <x:f>IFERROR(H131/G131,"")</x:f>
      </x:c>
      <x:c r="AC131" s="57" t="str"/>
      <x:c r="AD131" s="57" t="str"/>
      <x:c r="AE131" s="57" t="str"/>
      <x:c r="AF131" s="57" t="str"/>
      <x:c r="AG131" s="2"/>
      <x:c r="AH131" s="2"/>
    </x:row>
    <x:row r="132" ht="15.75" customHeight="1">
      <x:c r="A132" s="2" t="s">
        <x:v>306</x:v>
      </x:c>
      <x:c r="B132" s="2" t="s">
        <x:v>307</x:v>
      </x:c>
      <x:c r="C132" s="3" t="e">
        <x:f>HYPERLINK("https://scan.mypinata.cloud/ipfs/bafybeih3olry3is4e4lzm7rus5l3h6zrphcal5a7ayfkhzm5oivjro2cp4/#/address/0xA4D4988F35E93Ad91BD625722e065D08Bb47553C", "0xA4D4988F35E93Ad91BD625722e065D08Bb47553C")</x:f>
      </x:c>
      <x:c r="D132" s="4" t="str">
        <x:f t="shared" si="10"/>
        <x:v>Atropa Dev</x:v>
      </x:c>
      <x:c r="E132" s="4" t="e">
        <x:f>HYPERLINK("https://scan.mypinata.cloud/ipfs/bafybeih3olry3is4e4lzm7rus5l3h6zrphcal5a7ayfkhzm5oivjro2cp4/#/block/18568473", "18568473")</x:f>
      </x:c>
      <x:c r="F132" s="4" t="e">
        <x:f>HYPERLINK("https://scan.mypinata.cloud/ipfs/bafybeih3olry3is4e4lzm7rus5l3h6zrphcal5a7ayfkhzm5oivjro2cp4/#/tx/0xa239ccfdcea941879fb9dd5bb8c5c1b833218908c3448227bd7eaf7f6174457d", "2023-10-14 12:48:05")</x:f>
      </x:c>
      <x:c r="G132" s="5">
        <x:v>0.0</x:v>
      </x:c>
      <x:c r="H132" s="5">
        <x:v>0.0</x:v>
      </x:c>
      <x:c r="I132" s="5">
        <x:v>0.0</x:v>
      </x:c>
      <x:c r="J132" s="5">
        <x:v>0.0</x:v>
      </x:c>
      <x:c r="K132" s="5">
        <x:v>0.0</x:v>
      </x:c>
      <x:c r="L132" s="2" t="s">
        <x:v>28</x:v>
      </x:c>
      <x:c r="M132" s="2" t="s">
        <x:v>28</x:v>
      </x:c>
      <x:c r="N132" s="2" t="e">
        <x:f>IFERROR(__xludf.DUMMYFUNCTION("IF(ISDATE(TO_DATE(L132)), MAX(0, ROUND(TODAY() - TO_DATE(L132)), 0), ""-"")"),"-")</x:f>
      </x:c>
      <x:c r="O132" s="2" t="e">
        <x:f>IFERROR(__xludf.DUMMYFUNCTION("IF(ISDATE(TO_DATE(M132)), MAX(0, ROUND(TODAY() - TO_DATE(M132)), 0), ""-"")"),"-")</x:f>
      </x:c>
      <x:c r="P132" s="2" t="s">
        <x:v>28</x:v>
      </x:c>
      <x:c r="Q132" s="2" t="s">
        <x:v>28</x:v>
      </x:c>
      <x:c r="R132" s="2" t="s">
        <x:v>28</x:v>
      </x:c>
      <x:c r="S132" s="2" t="s">
        <x:v>28</x:v>
      </x:c>
      <x:c r="T132" s="2" t="s">
        <x:v>28</x:v>
      </x:c>
      <x:c r="U132" s="2" t="s">
        <x:v>28</x:v>
      </x:c>
      <x:c r="V132" s="2" t="s">
        <x:v>28</x:v>
      </x:c>
      <x:c r="W132" s="2" t="s">
        <x:v>28</x:v>
      </x:c>
      <x:c r="X132" s="2" t="s">
        <x:v>28</x:v>
      </x:c>
      <x:c r="Y132" s="2" t="s">
        <x:v>28</x:v>
      </x:c>
      <x:c r="Z132" s="9" t="s">
        <x:v>312</x:v>
      </x:c>
      <x:c r="AA132" s="57" t="str">
        <x:v>Snapshot only — run GitHub workflow</x:v>
      </x:c>
      <x:c r="AB132" s="58" t="str">
        <x:f>IFERROR(H132/G132,"")</x:f>
      </x:c>
      <x:c r="AC132" s="57" t="str"/>
      <x:c r="AD132" s="57" t="str"/>
      <x:c r="AE132" s="57" t="str"/>
      <x:c r="AF132" s="57" t="str"/>
      <x:c r="AG132" s="2"/>
      <x:c r="AH132" s="2"/>
    </x:row>
    <x:row r="133" ht="15.75" customHeight="1">
      <x:c r="A133" s="2" t="s">
        <x:v>306</x:v>
      </x:c>
      <x:c r="B133" s="2" t="s">
        <x:v>307</x:v>
      </x:c>
      <x:c r="C133" s="3" t="e">
        <x:f>HYPERLINK("https://scan.mypinata.cloud/ipfs/bafybeih3olry3is4e4lzm7rus5l3h6zrphcal5a7ayfkhzm5oivjro2cp4/#/address/0x6CB1a1EEBF2E399858cd78E54AfD9f357fCa1fcB", "0x6CB1a1EEBF2E399858cd78E54AfD9f357fCa1fcB")</x:f>
      </x:c>
      <x:c r="D133" s="4" t="str">
        <x:f t="shared" si="10"/>
        <x:v>Atropa Dev</x:v>
      </x:c>
      <x:c r="E133" s="4" t="e">
        <x:f>HYPERLINK("https://scan.mypinata.cloud/ipfs/bafybeih3olry3is4e4lzm7rus5l3h6zrphcal5a7ayfkhzm5oivjro2cp4/#/block/18568499", "18568499")</x:f>
      </x:c>
      <x:c r="F133" s="4" t="e">
        <x:f>HYPERLINK("https://scan.mypinata.cloud/ipfs/bafybeih3olry3is4e4lzm7rus5l3h6zrphcal5a7ayfkhzm5oivjro2cp4/#/tx/0xa7820f7059fb47b132a0f1137fac1047d915811dad8c126e5b6808465ff2d929", "2023-10-14 12:52:35")</x:f>
      </x:c>
      <x:c r="G133" s="5">
        <x:v>0.0</x:v>
      </x:c>
      <x:c r="H133" s="5">
        <x:v>0.0</x:v>
      </x:c>
      <x:c r="I133" s="5">
        <x:v>0.0</x:v>
      </x:c>
      <x:c r="J133" s="5">
        <x:v>0.0</x:v>
      </x:c>
      <x:c r="K133" s="5">
        <x:v>0.0</x:v>
      </x:c>
      <x:c r="L133" s="2" t="s">
        <x:v>28</x:v>
      </x:c>
      <x:c r="M133" s="2" t="s">
        <x:v>28</x:v>
      </x:c>
      <x:c r="N133" s="2" t="e">
        <x:f>IFERROR(__xludf.DUMMYFUNCTION("IF(ISDATE(TO_DATE(L133)), MAX(0, ROUND(TODAY() - TO_DATE(L133)), 0), ""-"")"),"-")</x:f>
      </x:c>
      <x:c r="O133" s="2" t="e">
        <x:f>IFERROR(__xludf.DUMMYFUNCTION("IF(ISDATE(TO_DATE(M133)), MAX(0, ROUND(TODAY() - TO_DATE(M133)), 0), ""-"")"),"-")</x:f>
      </x:c>
      <x:c r="P133" s="2" t="s">
        <x:v>28</x:v>
      </x:c>
      <x:c r="Q133" s="2" t="s">
        <x:v>28</x:v>
      </x:c>
      <x:c r="R133" s="2" t="s">
        <x:v>28</x:v>
      </x:c>
      <x:c r="S133" s="2" t="s">
        <x:v>28</x:v>
      </x:c>
      <x:c r="T133" s="2" t="s">
        <x:v>28</x:v>
      </x:c>
      <x:c r="U133" s="2" t="s">
        <x:v>28</x:v>
      </x:c>
      <x:c r="V133" s="2" t="s">
        <x:v>28</x:v>
      </x:c>
      <x:c r="W133" s="2" t="s">
        <x:v>28</x:v>
      </x:c>
      <x:c r="X133" s="2" t="s">
        <x:v>28</x:v>
      </x:c>
      <x:c r="Y133" s="2" t="s">
        <x:v>28</x:v>
      </x:c>
      <x:c r="Z133" s="9" t="s">
        <x:v>312</x:v>
      </x:c>
      <x:c r="AA133" s="57" t="str">
        <x:v>Snapshot only — run GitHub workflow</x:v>
      </x:c>
      <x:c r="AB133" s="58" t="str">
        <x:f>IFERROR(H133/G133,"")</x:f>
      </x:c>
      <x:c r="AC133" s="57" t="str"/>
      <x:c r="AD133" s="57" t="str"/>
      <x:c r="AE133" s="57" t="str"/>
      <x:c r="AF133" s="57" t="str"/>
      <x:c r="AG133" s="2"/>
      <x:c r="AH133" s="2"/>
    </x:row>
    <x:row r="134" ht="15.75" customHeight="1">
      <x:c r="A134" s="2" t="s">
        <x:v>306</x:v>
      </x:c>
      <x:c r="B134" s="2" t="s">
        <x:v>307</x:v>
      </x:c>
      <x:c r="C134" s="3" t="e">
        <x:f>HYPERLINK("https://scan.mypinata.cloud/ipfs/bafybeih3olry3is4e4lzm7rus5l3h6zrphcal5a7ayfkhzm5oivjro2cp4/#/address/0xdaBaA0fcB4AEAF014ae9E79837A4487d20A3aB06", "0xdaBaA0fcB4AEAF014ae9E79837A4487d20A3aB06")</x:f>
      </x:c>
      <x:c r="D134" s="4" t="str">
        <x:f t="shared" si="10"/>
        <x:v>Atropa Dev</x:v>
      </x:c>
      <x:c r="E134" s="4" t="e">
        <x:f>HYPERLINK("https://scan.mypinata.cloud/ipfs/bafybeih3olry3is4e4lzm7rus5l3h6zrphcal5a7ayfkhzm5oivjro2cp4/#/block/18568529", "18568529")</x:f>
      </x:c>
      <x:c r="F134" s="4" t="e">
        <x:f>HYPERLINK("https://scan.mypinata.cloud/ipfs/bafybeih3olry3is4e4lzm7rus5l3h6zrphcal5a7ayfkhzm5oivjro2cp4/#/tx/0x7fd39e03c7cbed6aa4129170ae125aba2556278965bc1a321d42aac3089ab585", "2023-10-14 12:57:35")</x:f>
      </x:c>
      <x:c r="G134" s="5">
        <x:v>0.0</x:v>
      </x:c>
      <x:c r="H134" s="5">
        <x:v>0.0</x:v>
      </x:c>
      <x:c r="I134" s="5">
        <x:v>0.0</x:v>
      </x:c>
      <x:c r="J134" s="5">
        <x:v>0.0</x:v>
      </x:c>
      <x:c r="K134" s="5">
        <x:v>0.0</x:v>
      </x:c>
      <x:c r="L134" s="2" t="s">
        <x:v>28</x:v>
      </x:c>
      <x:c r="M134" s="2" t="s">
        <x:v>28</x:v>
      </x:c>
      <x:c r="N134" s="2" t="e">
        <x:f>IFERROR(__xludf.DUMMYFUNCTION("IF(ISDATE(TO_DATE(L134)), MAX(0, ROUND(TODAY() - TO_DATE(L134)), 0), ""-"")"),"-")</x:f>
      </x:c>
      <x:c r="O134" s="2" t="e">
        <x:f>IFERROR(__xludf.DUMMYFUNCTION("IF(ISDATE(TO_DATE(M134)), MAX(0, ROUND(TODAY() - TO_DATE(M134)), 0), ""-"")"),"-")</x:f>
      </x:c>
      <x:c r="P134" s="2" t="s">
        <x:v>28</x:v>
      </x:c>
      <x:c r="Q134" s="2" t="s">
        <x:v>28</x:v>
      </x:c>
      <x:c r="R134" s="2" t="s">
        <x:v>28</x:v>
      </x:c>
      <x:c r="S134" s="2" t="s">
        <x:v>28</x:v>
      </x:c>
      <x:c r="T134" s="2" t="s">
        <x:v>28</x:v>
      </x:c>
      <x:c r="U134" s="2" t="s">
        <x:v>28</x:v>
      </x:c>
      <x:c r="V134" s="2" t="s">
        <x:v>28</x:v>
      </x:c>
      <x:c r="W134" s="2" t="s">
        <x:v>28</x:v>
      </x:c>
      <x:c r="X134" s="2" t="s">
        <x:v>28</x:v>
      </x:c>
      <x:c r="Y134" s="2" t="s">
        <x:v>28</x:v>
      </x:c>
      <x:c r="Z134" s="9" t="s">
        <x:v>314</x:v>
      </x:c>
      <x:c r="AA134" s="57" t="str">
        <x:v>Snapshot only — run GitHub workflow</x:v>
      </x:c>
      <x:c r="AB134" s="58" t="str">
        <x:f>IFERROR(H134/G134,"")</x:f>
      </x:c>
      <x:c r="AC134" s="57" t="str"/>
      <x:c r="AD134" s="57" t="str"/>
      <x:c r="AE134" s="57" t="str"/>
      <x:c r="AF134" s="57" t="str"/>
      <x:c r="AG134" s="2"/>
      <x:c r="AH134" s="2"/>
    </x:row>
    <x:row r="135" ht="15.75" customHeight="1">
      <x:c r="A135" s="2" t="s">
        <x:v>306</x:v>
      </x:c>
      <x:c r="B135" s="2" t="s">
        <x:v>307</x:v>
      </x:c>
      <x:c r="C135" s="3" t="e">
        <x:f>HYPERLINK("https://scan.mypinata.cloud/ipfs/bafybeih3olry3is4e4lzm7rus5l3h6zrphcal5a7ayfkhzm5oivjro2cp4/#/address/0x4cF830c0714f01cf506EC3fBBae7874b18A29691", "0x4cF830c0714f01cf506EC3fBBae7874b18A29691")</x:f>
      </x:c>
      <x:c r="D135" s="4" t="str">
        <x:f t="shared" si="10"/>
        <x:v>Atropa Dev</x:v>
      </x:c>
      <x:c r="E135" s="4" t="e">
        <x:f>HYPERLINK("https://scan.mypinata.cloud/ipfs/bafybeih3olry3is4e4lzm7rus5l3h6zrphcal5a7ayfkhzm5oivjro2cp4/#/block/18568542", "18568542")</x:f>
      </x:c>
      <x:c r="F135" s="4" t="e">
        <x:f>HYPERLINK("https://scan.mypinata.cloud/ipfs/bafybeih3olry3is4e4lzm7rus5l3h6zrphcal5a7ayfkhzm5oivjro2cp4/#/tx/0x839ab559167ca7e2f1cba164607d55c998b484f5dbbe9747bb0bd2a86b7e062d", "2023-10-14 12:59:45")</x:f>
      </x:c>
      <x:c r="G135" s="5">
        <x:v>0.0</x:v>
      </x:c>
      <x:c r="H135" s="5">
        <x:v>0.0</x:v>
      </x:c>
      <x:c r="I135" s="5">
        <x:v>0.0</x:v>
      </x:c>
      <x:c r="J135" s="5">
        <x:v>0.0</x:v>
      </x:c>
      <x:c r="K135" s="5">
        <x:v>0.0</x:v>
      </x:c>
      <x:c r="L135" s="2" t="s">
        <x:v>28</x:v>
      </x:c>
      <x:c r="M135" s="2" t="s">
        <x:v>28</x:v>
      </x:c>
      <x:c r="N135" s="2" t="e">
        <x:f>IFERROR(__xludf.DUMMYFUNCTION("IF(ISDATE(TO_DATE(L135)), MAX(0, ROUND(TODAY() - TO_DATE(L135)), 0), ""-"")"),"-")</x:f>
      </x:c>
      <x:c r="O135" s="2" t="e">
        <x:f>IFERROR(__xludf.DUMMYFUNCTION("IF(ISDATE(TO_DATE(M135)), MAX(0, ROUND(TODAY() - TO_DATE(M135)), 0), ""-"")"),"-")</x:f>
      </x:c>
      <x:c r="P135" s="2" t="s">
        <x:v>28</x:v>
      </x:c>
      <x:c r="Q135" s="2" t="s">
        <x:v>28</x:v>
      </x:c>
      <x:c r="R135" s="2" t="s">
        <x:v>28</x:v>
      </x:c>
      <x:c r="S135" s="2" t="s">
        <x:v>28</x:v>
      </x:c>
      <x:c r="T135" s="2" t="s">
        <x:v>28</x:v>
      </x:c>
      <x:c r="U135" s="2" t="s">
        <x:v>28</x:v>
      </x:c>
      <x:c r="V135" s="2" t="s">
        <x:v>28</x:v>
      </x:c>
      <x:c r="W135" s="2" t="s">
        <x:v>28</x:v>
      </x:c>
      <x:c r="X135" s="2" t="s">
        <x:v>28</x:v>
      </x:c>
      <x:c r="Y135" s="2" t="s">
        <x:v>28</x:v>
      </x:c>
      <x:c r="Z135" s="9" t="s">
        <x:v>312</x:v>
      </x:c>
      <x:c r="AA135" s="57" t="str">
        <x:v>Snapshot only — run GitHub workflow</x:v>
      </x:c>
      <x:c r="AB135" s="58" t="str">
        <x:f>IFERROR(H135/G135,"")</x:f>
      </x:c>
      <x:c r="AC135" s="57" t="str"/>
      <x:c r="AD135" s="57" t="str"/>
      <x:c r="AE135" s="57" t="str"/>
      <x:c r="AF135" s="57" t="str"/>
      <x:c r="AG135" s="2"/>
      <x:c r="AH135" s="2"/>
    </x:row>
    <x:row r="136" ht="15.75" customHeight="1">
      <x:c r="A136" s="2" t="s">
        <x:v>306</x:v>
      </x:c>
      <x:c r="B136" s="2" t="s">
        <x:v>307</x:v>
      </x:c>
      <x:c r="C136" s="3" t="e">
        <x:f>HYPERLINK("https://scan.mypinata.cloud/ipfs/bafybeih3olry3is4e4lzm7rus5l3h6zrphcal5a7ayfkhzm5oivjro2cp4/#/address/0xB2F814f75369Af421508B7Ef81c8776866709730", "0xB2F814f75369Af421508B7Ef81c8776866709730")</x:f>
      </x:c>
      <x:c r="D136" s="4" t="str">
        <x:f t="shared" si="10"/>
        <x:v>Atropa Dev</x:v>
      </x:c>
      <x:c r="E136" s="4" t="e">
        <x:f>HYPERLINK("https://scan.mypinata.cloud/ipfs/bafybeih3olry3is4e4lzm7rus5l3h6zrphcal5a7ayfkhzm5oivjro2cp4/#/block/18568633", "18568633")</x:f>
      </x:c>
      <x:c r="F136" s="4" t="e">
        <x:f>HYPERLINK("https://scan.mypinata.cloud/ipfs/bafybeih3olry3is4e4lzm7rus5l3h6zrphcal5a7ayfkhzm5oivjro2cp4/#/tx/0x68cdc5dc2eb142936cf55e3066b9a944127865e09bc73e42958675b9474d38fa", "2023-10-14 13:15:15")</x:f>
      </x:c>
      <x:c r="G136" s="5">
        <x:v>0.0</x:v>
      </x:c>
      <x:c r="H136" s="5">
        <x:v>0.0</x:v>
      </x:c>
      <x:c r="I136" s="5">
        <x:v>0.0</x:v>
      </x:c>
      <x:c r="J136" s="5">
        <x:v>0.0</x:v>
      </x:c>
      <x:c r="K136" s="5">
        <x:v>0.0</x:v>
      </x:c>
      <x:c r="L136" s="2" t="s">
        <x:v>28</x:v>
      </x:c>
      <x:c r="M136" s="2" t="s">
        <x:v>28</x:v>
      </x:c>
      <x:c r="N136" s="2" t="e">
        <x:f>IFERROR(__xludf.DUMMYFUNCTION("IF(ISDATE(TO_DATE(L136)), MAX(0, ROUND(TODAY() - TO_DATE(L136)), 0), ""-"")"),"-")</x:f>
      </x:c>
      <x:c r="O136" s="2" t="e">
        <x:f>IFERROR(__xludf.DUMMYFUNCTION("IF(ISDATE(TO_DATE(M136)), MAX(0, ROUND(TODAY() - TO_DATE(M136)), 0), ""-"")"),"-")</x:f>
      </x:c>
      <x:c r="P136" s="2" t="s">
        <x:v>28</x:v>
      </x:c>
      <x:c r="Q136" s="2" t="s">
        <x:v>28</x:v>
      </x:c>
      <x:c r="R136" s="2" t="s">
        <x:v>28</x:v>
      </x:c>
      <x:c r="S136" s="2" t="s">
        <x:v>28</x:v>
      </x:c>
      <x:c r="T136" s="2" t="s">
        <x:v>28</x:v>
      </x:c>
      <x:c r="U136" s="2" t="s">
        <x:v>28</x:v>
      </x:c>
      <x:c r="V136" s="2" t="s">
        <x:v>28</x:v>
      </x:c>
      <x:c r="W136" s="2" t="s">
        <x:v>28</x:v>
      </x:c>
      <x:c r="X136" s="2" t="s">
        <x:v>28</x:v>
      </x:c>
      <x:c r="Y136" s="2" t="s">
        <x:v>28</x:v>
      </x:c>
      <x:c r="Z136" s="9" t="s">
        <x:v>314</x:v>
      </x:c>
      <x:c r="AA136" s="57" t="str">
        <x:v>Snapshot only — run GitHub workflow</x:v>
      </x:c>
      <x:c r="AB136" s="58" t="str">
        <x:f>IFERROR(H136/G136,"")</x:f>
      </x:c>
      <x:c r="AC136" s="57" t="str"/>
      <x:c r="AD136" s="57" t="str"/>
      <x:c r="AE136" s="57" t="str"/>
      <x:c r="AF136" s="57" t="str"/>
      <x:c r="AG136" s="2"/>
      <x:c r="AH136" s="2"/>
    </x:row>
    <x:row r="137" ht="15.75" customHeight="1">
      <x:c r="A137" s="2" t="s">
        <x:v>306</x:v>
      </x:c>
      <x:c r="B137" s="2" t="s">
        <x:v>307</x:v>
      </x:c>
      <x:c r="C137" s="3" t="e">
        <x:f>HYPERLINK("https://scan.mypinata.cloud/ipfs/bafybeih3olry3is4e4lzm7rus5l3h6zrphcal5a7ayfkhzm5oivjro2cp4/#/address/0x5ED157C157A430a5bC4f0F1b0Bd78EbeE6533479", "0x5ED157C157A430a5bC4f0F1b0Bd78EbeE6533479")</x:f>
      </x:c>
      <x:c r="D137" s="4" t="str">
        <x:f t="shared" si="10"/>
        <x:v>Atropa Dev</x:v>
      </x:c>
      <x:c r="E137" s="4" t="e">
        <x:f>HYPERLINK("https://scan.mypinata.cloud/ipfs/bafybeih3olry3is4e4lzm7rus5l3h6zrphcal5a7ayfkhzm5oivjro2cp4/#/block/18569448", "18569448")</x:f>
      </x:c>
      <x:c r="F137" s="4" t="e">
        <x:f>HYPERLINK("https://scan.mypinata.cloud/ipfs/bafybeih3olry3is4e4lzm7rus5l3h6zrphcal5a7ayfkhzm5oivjro2cp4/#/tx/0x1374989f364a2e45e07a20980d093896671ce1ca60fbab1be7fe3825c9ef6d40", "2023-10-14 15:32:45")</x:f>
      </x:c>
      <x:c r="G137" s="5">
        <x:v>0.0</x:v>
      </x:c>
      <x:c r="H137" s="5">
        <x:v>0.0</x:v>
      </x:c>
      <x:c r="I137" s="5">
        <x:v>0.0</x:v>
      </x:c>
      <x:c r="J137" s="5">
        <x:v>0.0</x:v>
      </x:c>
      <x:c r="K137" s="5">
        <x:v>0.0</x:v>
      </x:c>
      <x:c r="L137" s="2" t="s">
        <x:v>28</x:v>
      </x:c>
      <x:c r="M137" s="2" t="s">
        <x:v>28</x:v>
      </x:c>
      <x:c r="N137" s="2" t="e">
        <x:f>IFERROR(__xludf.DUMMYFUNCTION("IF(ISDATE(TO_DATE(L137)), MAX(0, ROUND(TODAY() - TO_DATE(L137)), 0), ""-"")"),"-")</x:f>
      </x:c>
      <x:c r="O137" s="2" t="e">
        <x:f>IFERROR(__xludf.DUMMYFUNCTION("IF(ISDATE(TO_DATE(M137)), MAX(0, ROUND(TODAY() - TO_DATE(M137)), 0), ""-"")"),"-")</x:f>
      </x:c>
      <x:c r="P137" s="2" t="s">
        <x:v>28</x:v>
      </x:c>
      <x:c r="Q137" s="2" t="s">
        <x:v>28</x:v>
      </x:c>
      <x:c r="R137" s="2" t="s">
        <x:v>28</x:v>
      </x:c>
      <x:c r="S137" s="2" t="s">
        <x:v>28</x:v>
      </x:c>
      <x:c r="T137" s="2" t="s">
        <x:v>28</x:v>
      </x:c>
      <x:c r="U137" s="2" t="s">
        <x:v>28</x:v>
      </x:c>
      <x:c r="V137" s="2" t="s">
        <x:v>28</x:v>
      </x:c>
      <x:c r="W137" s="2" t="s">
        <x:v>28</x:v>
      </x:c>
      <x:c r="X137" s="2" t="s">
        <x:v>28</x:v>
      </x:c>
      <x:c r="Y137" s="2" t="s">
        <x:v>28</x:v>
      </x:c>
      <x:c r="Z137" s="9" t="s">
        <x:v>315</x:v>
      </x:c>
      <x:c r="AA137" s="57" t="str">
        <x:v>Snapshot only — run GitHub workflow</x:v>
      </x:c>
      <x:c r="AB137" s="58" t="str">
        <x:f>IFERROR(H137/G137,"")</x:f>
      </x:c>
      <x:c r="AC137" s="57" t="str"/>
      <x:c r="AD137" s="57" t="str"/>
      <x:c r="AE137" s="57" t="str"/>
      <x:c r="AF137" s="57" t="str"/>
      <x:c r="AG137" s="2"/>
      <x:c r="AH137" s="2"/>
    </x:row>
    <x:row r="138" ht="15.75" customHeight="1">
      <x:c r="A138" s="2" t="s">
        <x:v>306</x:v>
      </x:c>
      <x:c r="B138" s="2" t="s">
        <x:v>307</x:v>
      </x:c>
      <x:c r="C138" s="3" t="e">
        <x:f>HYPERLINK("https://scan.mypinata.cloud/ipfs/bafybeih3olry3is4e4lzm7rus5l3h6zrphcal5a7ayfkhzm5oivjro2cp4/#/address/0x30C4e7a7B6A19c704742d55b546872C7f01615D7", "0x30C4e7a7B6A19c704742d55b546872C7f01615D7")</x:f>
      </x:c>
      <x:c r="D138" s="4" t="str">
        <x:f t="shared" si="10"/>
        <x:v>Atropa Dev</x:v>
      </x:c>
      <x:c r="E138" s="4" t="e">
        <x:f>HYPERLINK("https://scan.mypinata.cloud/ipfs/bafybeih3olry3is4e4lzm7rus5l3h6zrphcal5a7ayfkhzm5oivjro2cp4/#/block/18569483", "18569483")</x:f>
      </x:c>
      <x:c r="F138" s="4" t="e">
        <x:f>HYPERLINK("https://scan.mypinata.cloud/ipfs/bafybeih3olry3is4e4lzm7rus5l3h6zrphcal5a7ayfkhzm5oivjro2cp4/#/tx/0x1f237a661be35a4da92d44e4bc3ec538c7c0f877cb5aa491c08459443d1b0486", "2023-10-14 15:38:35")</x:f>
      </x:c>
      <x:c r="G138" s="5">
        <x:v>0.0</x:v>
      </x:c>
      <x:c r="H138" s="5">
        <x:v>0.0</x:v>
      </x:c>
      <x:c r="I138" s="5">
        <x:v>0.0</x:v>
      </x:c>
      <x:c r="J138" s="5">
        <x:v>0.0</x:v>
      </x:c>
      <x:c r="K138" s="5">
        <x:v>0.0</x:v>
      </x:c>
      <x:c r="L138" s="2" t="s">
        <x:v>28</x:v>
      </x:c>
      <x:c r="M138" s="2" t="s">
        <x:v>28</x:v>
      </x:c>
      <x:c r="N138" s="2" t="e">
        <x:f>IFERROR(__xludf.DUMMYFUNCTION("IF(ISDATE(TO_DATE(L138)), MAX(0, ROUND(TODAY() - TO_DATE(L138)), 0), ""-"")"),"-")</x:f>
      </x:c>
      <x:c r="O138" s="2" t="e">
        <x:f>IFERROR(__xludf.DUMMYFUNCTION("IF(ISDATE(TO_DATE(M138)), MAX(0, ROUND(TODAY() - TO_DATE(M138)), 0), ""-"")"),"-")</x:f>
      </x:c>
      <x:c r="P138" s="2" t="s">
        <x:v>28</x:v>
      </x:c>
      <x:c r="Q138" s="2" t="s">
        <x:v>28</x:v>
      </x:c>
      <x:c r="R138" s="2" t="s">
        <x:v>28</x:v>
      </x:c>
      <x:c r="S138" s="2" t="s">
        <x:v>28</x:v>
      </x:c>
      <x:c r="T138" s="2" t="s">
        <x:v>28</x:v>
      </x:c>
      <x:c r="U138" s="2" t="s">
        <x:v>28</x:v>
      </x:c>
      <x:c r="V138" s="2" t="s">
        <x:v>28</x:v>
      </x:c>
      <x:c r="W138" s="2" t="s">
        <x:v>28</x:v>
      </x:c>
      <x:c r="X138" s="2" t="s">
        <x:v>28</x:v>
      </x:c>
      <x:c r="Y138" s="2" t="s">
        <x:v>28</x:v>
      </x:c>
      <x:c r="Z138" s="9" t="s">
        <x:v>314</x:v>
      </x:c>
      <x:c r="AA138" s="57" t="str">
        <x:v>Snapshot only — run GitHub workflow</x:v>
      </x:c>
      <x:c r="AB138" s="58" t="str">
        <x:f>IFERROR(H138/G138,"")</x:f>
      </x:c>
      <x:c r="AC138" s="57" t="str"/>
      <x:c r="AD138" s="57" t="str"/>
      <x:c r="AE138" s="57" t="str"/>
      <x:c r="AF138" s="57" t="str"/>
      <x:c r="AG138" s="2"/>
      <x:c r="AH138" s="2"/>
    </x:row>
    <x:row r="139" ht="15.75" customHeight="1">
      <x:c r="A139" s="2" t="s">
        <x:v>306</x:v>
      </x:c>
      <x:c r="B139" s="2" t="s">
        <x:v>307</x:v>
      </x:c>
      <x:c r="C139" s="3" t="e">
        <x:f>HYPERLINK("https://scan.mypinata.cloud/ipfs/bafybeih3olry3is4e4lzm7rus5l3h6zrphcal5a7ayfkhzm5oivjro2cp4/#/address/0xf2A202C9CD126F36ABDA6bBFba14F314922335de", "0xf2A202C9CD126F36ABDA6bBFba14F314922335de")</x:f>
      </x:c>
      <x:c r="D139" s="4" t="str">
        <x:f t="shared" si="10"/>
        <x:v>Atropa Dev</x:v>
      </x:c>
      <x:c r="E139" s="4" t="e">
        <x:f>HYPERLINK("https://scan.mypinata.cloud/ipfs/bafybeih3olry3is4e4lzm7rus5l3h6zrphcal5a7ayfkhzm5oivjro2cp4/#/block/18569492", "18569492")</x:f>
      </x:c>
      <x:c r="F139" s="4" t="e">
        <x:f>HYPERLINK("https://scan.mypinata.cloud/ipfs/bafybeih3olry3is4e4lzm7rus5l3h6zrphcal5a7ayfkhzm5oivjro2cp4/#/tx/0x73930dcc7f7c43a5de5e5c5a99d7fb86c55a77b90f6ac7b933e087f4c402a871", "2023-10-14 15:40:05")</x:f>
      </x:c>
      <x:c r="G139" s="5">
        <x:v>0.0</x:v>
      </x:c>
      <x:c r="H139" s="5">
        <x:v>0.0</x:v>
      </x:c>
      <x:c r="I139" s="5">
        <x:v>0.0</x:v>
      </x:c>
      <x:c r="J139" s="5">
        <x:v>0.0</x:v>
      </x:c>
      <x:c r="K139" s="5">
        <x:v>0.0</x:v>
      </x:c>
      <x:c r="L139" s="2" t="s">
        <x:v>28</x:v>
      </x:c>
      <x:c r="M139" s="2" t="s">
        <x:v>28</x:v>
      </x:c>
      <x:c r="N139" s="2" t="e">
        <x:f>IFERROR(__xludf.DUMMYFUNCTION("IF(ISDATE(TO_DATE(L139)), MAX(0, ROUND(TODAY() - TO_DATE(L139)), 0), ""-"")"),"-")</x:f>
      </x:c>
      <x:c r="O139" s="2" t="e">
        <x:f>IFERROR(__xludf.DUMMYFUNCTION("IF(ISDATE(TO_DATE(M139)), MAX(0, ROUND(TODAY() - TO_DATE(M139)), 0), ""-"")"),"-")</x:f>
      </x:c>
      <x:c r="P139" s="2" t="s">
        <x:v>28</x:v>
      </x:c>
      <x:c r="Q139" s="2" t="s">
        <x:v>28</x:v>
      </x:c>
      <x:c r="R139" s="2" t="s">
        <x:v>28</x:v>
      </x:c>
      <x:c r="S139" s="2" t="s">
        <x:v>28</x:v>
      </x:c>
      <x:c r="T139" s="2" t="s">
        <x:v>28</x:v>
      </x:c>
      <x:c r="U139" s="2" t="s">
        <x:v>28</x:v>
      </x:c>
      <x:c r="V139" s="2" t="s">
        <x:v>28</x:v>
      </x:c>
      <x:c r="W139" s="2" t="s">
        <x:v>28</x:v>
      </x:c>
      <x:c r="X139" s="2" t="s">
        <x:v>28</x:v>
      </x:c>
      <x:c r="Y139" s="2" t="s">
        <x:v>28</x:v>
      </x:c>
      <x:c r="Z139" s="9" t="s">
        <x:v>314</x:v>
      </x:c>
      <x:c r="AA139" s="57" t="str">
        <x:v>Snapshot only — run GitHub workflow</x:v>
      </x:c>
      <x:c r="AB139" s="58" t="str">
        <x:f>IFERROR(H139/G139,"")</x:f>
      </x:c>
      <x:c r="AC139" s="57" t="str"/>
      <x:c r="AD139" s="57" t="str"/>
      <x:c r="AE139" s="57" t="str"/>
      <x:c r="AF139" s="57" t="str"/>
      <x:c r="AG139" s="2"/>
      <x:c r="AH139" s="2"/>
    </x:row>
    <x:row r="140" ht="15.75" customHeight="1">
      <x:c r="A140" s="2" t="s">
        <x:v>310</x:v>
      </x:c>
      <x:c r="B140" s="2" t="s">
        <x:v>311</x:v>
      </x:c>
      <x:c r="C140" s="3" t="e">
        <x:f>HYPERLINK("https://scan.mypinata.cloud/ipfs/bafybeih3olry3is4e4lzm7rus5l3h6zrphcal5a7ayfkhzm5oivjro2cp4/#/address/0x4443123a54A05bAF16089a3c922D0b9CF5901032", "0x4443123a54A05bAF16089a3c922D0b9CF5901032")</x:f>
      </x:c>
      <x:c r="D140" s="4" t="str">
        <x:f t="shared" si="10"/>
        <x:v>Atropa Dev</x:v>
      </x:c>
      <x:c r="E140" s="4" t="e">
        <x:f>HYPERLINK("https://scan.mypinata.cloud/ipfs/bafybeih3olry3is4e4lzm7rus5l3h6zrphcal5a7ayfkhzm5oivjro2cp4/#/block/18569564", "18569564")</x:f>
      </x:c>
      <x:c r="F140" s="4" t="e">
        <x:f>HYPERLINK("https://scan.mypinata.cloud/ipfs/bafybeih3olry3is4e4lzm7rus5l3h6zrphcal5a7ayfkhzm5oivjro2cp4/#/tx/0x54d340f7b05a350f185ead67de6c1bb244ca0a5da36464a6ff9977ca7799ed0f", "2023-10-14 15:52:25")</x:f>
      </x:c>
      <x:c r="G140" s="5">
        <x:v>0.0</x:v>
      </x:c>
      <x:c r="H140" s="5">
        <x:v>0.0</x:v>
      </x:c>
      <x:c r="I140" s="5">
        <x:v>0.0</x:v>
      </x:c>
      <x:c r="J140" s="5">
        <x:v>0.0</x:v>
      </x:c>
      <x:c r="K140" s="5">
        <x:v>0.0</x:v>
      </x:c>
      <x:c r="L140" s="2" t="s">
        <x:v>28</x:v>
      </x:c>
      <x:c r="M140" s="2" t="s">
        <x:v>28</x:v>
      </x:c>
      <x:c r="N140" s="2" t="e">
        <x:f>IFERROR(__xludf.DUMMYFUNCTION("IF(ISDATE(TO_DATE(L140)), MAX(0, ROUND(TODAY() - TO_DATE(L140)), 0), ""-"")"),"-")</x:f>
      </x:c>
      <x:c r="O140" s="2" t="e">
        <x:f>IFERROR(__xludf.DUMMYFUNCTION("IF(ISDATE(TO_DATE(M140)), MAX(0, ROUND(TODAY() - TO_DATE(M140)), 0), ""-"")"),"-")</x:f>
      </x:c>
      <x:c r="P140" s="2" t="s">
        <x:v>28</x:v>
      </x:c>
      <x:c r="Q140" s="2" t="s">
        <x:v>28</x:v>
      </x:c>
      <x:c r="R140" s="2" t="s">
        <x:v>28</x:v>
      </x:c>
      <x:c r="S140" s="2" t="s">
        <x:v>28</x:v>
      </x:c>
      <x:c r="T140" s="2" t="s">
        <x:v>28</x:v>
      </x:c>
      <x:c r="U140" s="2" t="s">
        <x:v>28</x:v>
      </x:c>
      <x:c r="V140" s="2" t="s">
        <x:v>28</x:v>
      </x:c>
      <x:c r="W140" s="2" t="s">
        <x:v>28</x:v>
      </x:c>
      <x:c r="X140" s="2" t="s">
        <x:v>28</x:v>
      </x:c>
      <x:c r="Y140" s="2" t="s">
        <x:v>28</x:v>
      </x:c>
      <x:c r="Z140" s="9" t="s">
        <x:v>316</x:v>
      </x:c>
      <x:c r="AA140" s="57" t="str">
        <x:v>Snapshot only — run GitHub workflow</x:v>
      </x:c>
      <x:c r="AB140" s="58" t="str">
        <x:f>IFERROR(H140/G140,"")</x:f>
      </x:c>
      <x:c r="AC140" s="57" t="str"/>
      <x:c r="AD140" s="57" t="str"/>
      <x:c r="AE140" s="57" t="str"/>
      <x:c r="AF140" s="57" t="str"/>
      <x:c r="AG140" s="2"/>
      <x:c r="AH140" s="2"/>
    </x:row>
    <x:row r="141" ht="15.75" customHeight="1">
      <x:c r="A141" s="2" t="s">
        <x:v>306</x:v>
      </x:c>
      <x:c r="B141" s="2" t="s">
        <x:v>307</x:v>
      </x:c>
      <x:c r="C141" s="3" t="e">
        <x:f>HYPERLINK("https://scan.mypinata.cloud/ipfs/bafybeih3olry3is4e4lzm7rus5l3h6zrphcal5a7ayfkhzm5oivjro2cp4/#/address/0x4D4f041E967CC5C0aF132a179d20F46D49062FBe", "0x4D4f041E967CC5C0aF132a179d20F46D49062FBe")</x:f>
      </x:c>
      <x:c r="D141" s="4" t="str">
        <x:f t="shared" si="10"/>
        <x:v>Atropa Dev</x:v>
      </x:c>
      <x:c r="E141" s="4" t="e">
        <x:f>HYPERLINK("https://scan.mypinata.cloud/ipfs/bafybeih3olry3is4e4lzm7rus5l3h6zrphcal5a7ayfkhzm5oivjro2cp4/#/block/18569575", "18569575")</x:f>
      </x:c>
      <x:c r="F141" s="4" t="e">
        <x:f>HYPERLINK("https://scan.mypinata.cloud/ipfs/bafybeih3olry3is4e4lzm7rus5l3h6zrphcal5a7ayfkhzm5oivjro2cp4/#/tx/0x07f193010190c0d13b51719802d98f5c8d2e905efa64a55dfb11a522b681bbc0", "2023-10-14 15:54:15")</x:f>
      </x:c>
      <x:c r="G141" s="5">
        <x:v>0.0</x:v>
      </x:c>
      <x:c r="H141" s="5">
        <x:v>0.0</x:v>
      </x:c>
      <x:c r="I141" s="5">
        <x:v>0.0</x:v>
      </x:c>
      <x:c r="J141" s="5">
        <x:v>0.0</x:v>
      </x:c>
      <x:c r="K141" s="5">
        <x:v>0.0</x:v>
      </x:c>
      <x:c r="L141" s="2" t="s">
        <x:v>28</x:v>
      </x:c>
      <x:c r="M141" s="2" t="s">
        <x:v>28</x:v>
      </x:c>
      <x:c r="N141" s="2" t="e">
        <x:f>IFERROR(__xludf.DUMMYFUNCTION("IF(ISDATE(TO_DATE(L141)), MAX(0, ROUND(TODAY() - TO_DATE(L141)), 0), ""-"")"),"-")</x:f>
      </x:c>
      <x:c r="O141" s="2" t="e">
        <x:f>IFERROR(__xludf.DUMMYFUNCTION("IF(ISDATE(TO_DATE(M141)), MAX(0, ROUND(TODAY() - TO_DATE(M141)), 0), ""-"")"),"-")</x:f>
      </x:c>
      <x:c r="P141" s="2" t="s">
        <x:v>28</x:v>
      </x:c>
      <x:c r="Q141" s="2" t="s">
        <x:v>28</x:v>
      </x:c>
      <x:c r="R141" s="2" t="s">
        <x:v>28</x:v>
      </x:c>
      <x:c r="S141" s="2" t="s">
        <x:v>28</x:v>
      </x:c>
      <x:c r="T141" s="2" t="s">
        <x:v>28</x:v>
      </x:c>
      <x:c r="U141" s="2" t="s">
        <x:v>28</x:v>
      </x:c>
      <x:c r="V141" s="2" t="s">
        <x:v>28</x:v>
      </x:c>
      <x:c r="W141" s="2" t="s">
        <x:v>28</x:v>
      </x:c>
      <x:c r="X141" s="2" t="s">
        <x:v>28</x:v>
      </x:c>
      <x:c r="Y141" s="2" t="s">
        <x:v>28</x:v>
      </x:c>
      <x:c r="Z141" s="9" t="s">
        <x:v>315</x:v>
      </x:c>
      <x:c r="AA141" s="57" t="str">
        <x:v>Snapshot only — run GitHub workflow</x:v>
      </x:c>
      <x:c r="AB141" s="58" t="str">
        <x:f>IFERROR(H141/G141,"")</x:f>
      </x:c>
      <x:c r="AC141" s="57" t="str"/>
      <x:c r="AD141" s="57" t="str"/>
      <x:c r="AE141" s="57" t="str"/>
      <x:c r="AF141" s="57" t="str"/>
      <x:c r="AG141" s="2"/>
      <x:c r="AH141" s="2"/>
    </x:row>
    <x:row r="142" ht="15.75" customHeight="1">
      <x:c r="A142" s="2" t="s">
        <x:v>306</x:v>
      </x:c>
      <x:c r="B142" s="2" t="s">
        <x:v>307</x:v>
      </x:c>
      <x:c r="C142" s="3" t="e">
        <x:f>HYPERLINK("https://scan.mypinata.cloud/ipfs/bafybeih3olry3is4e4lzm7rus5l3h6zrphcal5a7ayfkhzm5oivjro2cp4/#/address/0xcD960caC63fDC93D83Cc1Bf217Dbe646dAB52870", "0xcD960caC63fDC93D83Cc1Bf217Dbe646dAB52870")</x:f>
      </x:c>
      <x:c r="D142" s="4" t="str">
        <x:f t="shared" si="10"/>
        <x:v>Atropa Dev</x:v>
      </x:c>
      <x:c r="E142" s="4" t="e">
        <x:f>HYPERLINK("https://scan.mypinata.cloud/ipfs/bafybeih3olry3is4e4lzm7rus5l3h6zrphcal5a7ayfkhzm5oivjro2cp4/#/block/18569584", "18569584")</x:f>
      </x:c>
      <x:c r="F142" s="4" t="e">
        <x:f>HYPERLINK("https://scan.mypinata.cloud/ipfs/bafybeih3olry3is4e4lzm7rus5l3h6zrphcal5a7ayfkhzm5oivjro2cp4/#/tx/0xddc98de2a4a385365719e41cc77058ff438bd20ed5ea0294a54a1d56ef5f9dc4", "2023-10-14 15:55:45")</x:f>
      </x:c>
      <x:c r="G142" s="5">
        <x:v>0.0</x:v>
      </x:c>
      <x:c r="H142" s="5">
        <x:v>0.0</x:v>
      </x:c>
      <x:c r="I142" s="5">
        <x:v>0.0</x:v>
      </x:c>
      <x:c r="J142" s="5">
        <x:v>0.0</x:v>
      </x:c>
      <x:c r="K142" s="5">
        <x:v>0.0</x:v>
      </x:c>
      <x:c r="L142" s="2" t="s">
        <x:v>28</x:v>
      </x:c>
      <x:c r="M142" s="2" t="s">
        <x:v>28</x:v>
      </x:c>
      <x:c r="N142" s="2" t="e">
        <x:f>IFERROR(__xludf.DUMMYFUNCTION("IF(ISDATE(TO_DATE(L142)), MAX(0, ROUND(TODAY() - TO_DATE(L142)), 0), ""-"")"),"-")</x:f>
      </x:c>
      <x:c r="O142" s="2" t="e">
        <x:f>IFERROR(__xludf.DUMMYFUNCTION("IF(ISDATE(TO_DATE(M142)), MAX(0, ROUND(TODAY() - TO_DATE(M142)), 0), ""-"")"),"-")</x:f>
      </x:c>
      <x:c r="P142" s="2" t="s">
        <x:v>28</x:v>
      </x:c>
      <x:c r="Q142" s="2" t="s">
        <x:v>28</x:v>
      </x:c>
      <x:c r="R142" s="2" t="s">
        <x:v>28</x:v>
      </x:c>
      <x:c r="S142" s="2" t="s">
        <x:v>28</x:v>
      </x:c>
      <x:c r="T142" s="2" t="s">
        <x:v>28</x:v>
      </x:c>
      <x:c r="U142" s="2" t="s">
        <x:v>28</x:v>
      </x:c>
      <x:c r="V142" s="2" t="s">
        <x:v>28</x:v>
      </x:c>
      <x:c r="W142" s="2" t="s">
        <x:v>28</x:v>
      </x:c>
      <x:c r="X142" s="2" t="s">
        <x:v>28</x:v>
      </x:c>
      <x:c r="Y142" s="2" t="s">
        <x:v>28</x:v>
      </x:c>
      <x:c r="Z142" s="9" t="s">
        <x:v>317</x:v>
      </x:c>
      <x:c r="AA142" s="57" t="str">
        <x:v>Snapshot only — run GitHub workflow</x:v>
      </x:c>
      <x:c r="AB142" s="58" t="str">
        <x:f>IFERROR(H142/G142,"")</x:f>
      </x:c>
      <x:c r="AC142" s="57" t="str"/>
      <x:c r="AD142" s="57" t="str"/>
      <x:c r="AE142" s="57" t="str"/>
      <x:c r="AF142" s="57" t="str"/>
      <x:c r="AG142" s="2"/>
      <x:c r="AH142" s="2"/>
    </x:row>
    <x:row r="143" ht="15.75" customHeight="1">
      <x:c r="A143" s="2" t="s">
        <x:v>306</x:v>
      </x:c>
      <x:c r="B143" s="2" t="s">
        <x:v>307</x:v>
      </x:c>
      <x:c r="C143" s="3" t="e">
        <x:f>HYPERLINK("https://scan.mypinata.cloud/ipfs/bafybeih3olry3is4e4lzm7rus5l3h6zrphcal5a7ayfkhzm5oivjro2cp4/#/address/0x0bF1b7A5a3A4ad951e995651EFFCf82D4662fe95", "0x0bF1b7A5a3A4ad951e995651EFFCf82D4662fe95")</x:f>
      </x:c>
      <x:c r="D143" s="4" t="str">
        <x:f t="shared" si="10"/>
        <x:v>Atropa Dev</x:v>
      </x:c>
      <x:c r="E143" s="4" t="e">
        <x:f>HYPERLINK("https://scan.mypinata.cloud/ipfs/bafybeih3olry3is4e4lzm7rus5l3h6zrphcal5a7ayfkhzm5oivjro2cp4/#/block/18569688", "18569688")</x:f>
      </x:c>
      <x:c r="F143" s="4" t="e">
        <x:f>HYPERLINK("https://scan.mypinata.cloud/ipfs/bafybeih3olry3is4e4lzm7rus5l3h6zrphcal5a7ayfkhzm5oivjro2cp4/#/tx/0xe07b37ebd1f4c18816d859118fd973dd55d488a8aaaf6735c85d4ee3a4ad12d9", "2023-10-14 16:13:15")</x:f>
      </x:c>
      <x:c r="G143" s="5">
        <x:v>0.0</x:v>
      </x:c>
      <x:c r="H143" s="5">
        <x:v>0.0</x:v>
      </x:c>
      <x:c r="I143" s="5">
        <x:v>0.0</x:v>
      </x:c>
      <x:c r="J143" s="5">
        <x:v>0.0</x:v>
      </x:c>
      <x:c r="K143" s="5">
        <x:v>0.0</x:v>
      </x:c>
      <x:c r="L143" s="2" t="s">
        <x:v>28</x:v>
      </x:c>
      <x:c r="M143" s="2" t="s">
        <x:v>28</x:v>
      </x:c>
      <x:c r="N143" s="2" t="e">
        <x:f>IFERROR(__xludf.DUMMYFUNCTION("IF(ISDATE(TO_DATE(L143)), MAX(0, ROUND(TODAY() - TO_DATE(L143)), 0), ""-"")"),"-")</x:f>
      </x:c>
      <x:c r="O143" s="2" t="e">
        <x:f>IFERROR(__xludf.DUMMYFUNCTION("IF(ISDATE(TO_DATE(M143)), MAX(0, ROUND(TODAY() - TO_DATE(M143)), 0), ""-"")"),"-")</x:f>
      </x:c>
      <x:c r="P143" s="2" t="s">
        <x:v>28</x:v>
      </x:c>
      <x:c r="Q143" s="2" t="s">
        <x:v>28</x:v>
      </x:c>
      <x:c r="R143" s="2" t="s">
        <x:v>28</x:v>
      </x:c>
      <x:c r="S143" s="2" t="s">
        <x:v>28</x:v>
      </x:c>
      <x:c r="T143" s="2" t="s">
        <x:v>28</x:v>
      </x:c>
      <x:c r="U143" s="2" t="s">
        <x:v>28</x:v>
      </x:c>
      <x:c r="V143" s="2" t="s">
        <x:v>28</x:v>
      </x:c>
      <x:c r="W143" s="2" t="s">
        <x:v>28</x:v>
      </x:c>
      <x:c r="X143" s="2" t="s">
        <x:v>28</x:v>
      </x:c>
      <x:c r="Y143" s="2" t="s">
        <x:v>28</x:v>
      </x:c>
      <x:c r="Z143" s="9" t="s">
        <x:v>317</x:v>
      </x:c>
      <x:c r="AA143" s="57" t="str">
        <x:v>Snapshot only — run GitHub workflow</x:v>
      </x:c>
      <x:c r="AB143" s="58" t="str">
        <x:f>IFERROR(H143/G143,"")</x:f>
      </x:c>
      <x:c r="AC143" s="57" t="str"/>
      <x:c r="AD143" s="57" t="str"/>
      <x:c r="AE143" s="57" t="str"/>
      <x:c r="AF143" s="57" t="str"/>
      <x:c r="AG143" s="2"/>
      <x:c r="AH143" s="2"/>
    </x:row>
    <x:row r="144" ht="15.75" customHeight="1">
      <x:c r="A144" s="2" t="s">
        <x:v>306</x:v>
      </x:c>
      <x:c r="B144" s="2" t="s">
        <x:v>307</x:v>
      </x:c>
      <x:c r="C144" s="3" t="e">
        <x:f>HYPERLINK("https://scan.mypinata.cloud/ipfs/bafybeih3olry3is4e4lzm7rus5l3h6zrphcal5a7ayfkhzm5oivjro2cp4/#/address/0x603c6a0D4a565941658dc85CFb45DA908b838C2C", "0x603c6a0D4a565941658dc85CFb45DA908b838C2C")</x:f>
      </x:c>
      <x:c r="D144" s="4" t="str">
        <x:f t="shared" si="10"/>
        <x:v>Atropa Dev</x:v>
      </x:c>
      <x:c r="E144" s="4" t="e">
        <x:f>HYPERLINK("https://scan.mypinata.cloud/ipfs/bafybeih3olry3is4e4lzm7rus5l3h6zrphcal5a7ayfkhzm5oivjro2cp4/#/block/18569872", "18569872")</x:f>
      </x:c>
      <x:c r="F144" s="4" t="e">
        <x:f>HYPERLINK("https://scan.mypinata.cloud/ipfs/bafybeih3olry3is4e4lzm7rus5l3h6zrphcal5a7ayfkhzm5oivjro2cp4/#/tx/0xc3dc79c726a923149d95f91fde4b253a66f93d7795d9a0c6708c66d7bf5c8719", "2023-10-14 16:44:25")</x:f>
      </x:c>
      <x:c r="G144" s="5">
        <x:v>0.0</x:v>
      </x:c>
      <x:c r="H144" s="5">
        <x:v>0.0</x:v>
      </x:c>
      <x:c r="I144" s="5">
        <x:v>0.0</x:v>
      </x:c>
      <x:c r="J144" s="5">
        <x:v>0.0</x:v>
      </x:c>
      <x:c r="K144" s="5">
        <x:v>0.0</x:v>
      </x:c>
      <x:c r="L144" s="2" t="s">
        <x:v>28</x:v>
      </x:c>
      <x:c r="M144" s="2" t="s">
        <x:v>28</x:v>
      </x:c>
      <x:c r="N144" s="2" t="e">
        <x:f>IFERROR(__xludf.DUMMYFUNCTION("IF(ISDATE(TO_DATE(L144)), MAX(0, ROUND(TODAY() - TO_DATE(L144)), 0), ""-"")"),"-")</x:f>
      </x:c>
      <x:c r="O144" s="2" t="e">
        <x:f>IFERROR(__xludf.DUMMYFUNCTION("IF(ISDATE(TO_DATE(M144)), MAX(0, ROUND(TODAY() - TO_DATE(M144)), 0), ""-"")"),"-")</x:f>
      </x:c>
      <x:c r="P144" s="2" t="s">
        <x:v>28</x:v>
      </x:c>
      <x:c r="Q144" s="2" t="s">
        <x:v>28</x:v>
      </x:c>
      <x:c r="R144" s="2" t="s">
        <x:v>28</x:v>
      </x:c>
      <x:c r="S144" s="2" t="s">
        <x:v>28</x:v>
      </x:c>
      <x:c r="T144" s="2" t="s">
        <x:v>28</x:v>
      </x:c>
      <x:c r="U144" s="2" t="s">
        <x:v>28</x:v>
      </x:c>
      <x:c r="V144" s="2" t="s">
        <x:v>28</x:v>
      </x:c>
      <x:c r="W144" s="2" t="s">
        <x:v>28</x:v>
      </x:c>
      <x:c r="X144" s="2" t="s">
        <x:v>28</x:v>
      </x:c>
      <x:c r="Y144" s="2" t="s">
        <x:v>28</x:v>
      </x:c>
      <x:c r="Z144" s="9" t="s">
        <x:v>317</x:v>
      </x:c>
      <x:c r="AA144" s="57" t="str">
        <x:v>Snapshot only — run GitHub workflow</x:v>
      </x:c>
      <x:c r="AB144" s="58" t="str">
        <x:f>IFERROR(H144/G144,"")</x:f>
      </x:c>
      <x:c r="AC144" s="57" t="str"/>
      <x:c r="AD144" s="57" t="str"/>
      <x:c r="AE144" s="57" t="str"/>
      <x:c r="AF144" s="57" t="str"/>
      <x:c r="AG144" s="2"/>
      <x:c r="AH144" s="2"/>
    </x:row>
    <x:row r="145" ht="15.75" customHeight="1">
      <x:c r="A145" s="2" t="s">
        <x:v>306</x:v>
      </x:c>
      <x:c r="B145" s="2" t="s">
        <x:v>307</x:v>
      </x:c>
      <x:c r="C145" s="3" t="e">
        <x:f>HYPERLINK("https://scan.mypinata.cloud/ipfs/bafybeih3olry3is4e4lzm7rus5l3h6zrphcal5a7ayfkhzm5oivjro2cp4/#/address/0x71d8Cb4828f129929D82a35686f2aC73F3901eC9", "0x71d8Cb4828f129929D82a35686f2aC73F3901eC9")</x:f>
      </x:c>
      <x:c r="D145" s="4" t="str">
        <x:f t="shared" si="10"/>
        <x:v>Atropa Dev</x:v>
      </x:c>
      <x:c r="E145" s="4" t="e">
        <x:f>HYPERLINK("https://scan.mypinata.cloud/ipfs/bafybeih3olry3is4e4lzm7rus5l3h6zrphcal5a7ayfkhzm5oivjro2cp4/#/block/18571452", "18571452")</x:f>
      </x:c>
      <x:c r="F145" s="4" t="e">
        <x:f>HYPERLINK("https://scan.mypinata.cloud/ipfs/bafybeih3olry3is4e4lzm7rus5l3h6zrphcal5a7ayfkhzm5oivjro2cp4/#/tx/0xb5426e94ed3e964dfd973554afb8a38c27a4ae80f6b76a20677305f079ff1cc7", "2023-10-14 21:11:35")</x:f>
      </x:c>
      <x:c r="G145" s="5">
        <x:v>0.0</x:v>
      </x:c>
      <x:c r="H145" s="5">
        <x:v>0.0</x:v>
      </x:c>
      <x:c r="I145" s="5">
        <x:v>0.0</x:v>
      </x:c>
      <x:c r="J145" s="5">
        <x:v>0.0</x:v>
      </x:c>
      <x:c r="K145" s="5">
        <x:v>0.0</x:v>
      </x:c>
      <x:c r="L145" s="2" t="s">
        <x:v>28</x:v>
      </x:c>
      <x:c r="M145" s="2" t="s">
        <x:v>28</x:v>
      </x:c>
      <x:c r="N145" s="2" t="e">
        <x:f>IFERROR(__xludf.DUMMYFUNCTION("IF(ISDATE(TO_DATE(L145)), MAX(0, ROUND(TODAY() - TO_DATE(L145)), 0), ""-"")"),"-")</x:f>
      </x:c>
      <x:c r="O145" s="2" t="e">
        <x:f>IFERROR(__xludf.DUMMYFUNCTION("IF(ISDATE(TO_DATE(M145)), MAX(0, ROUND(TODAY() - TO_DATE(M145)), 0), ""-"")"),"-")</x:f>
      </x:c>
      <x:c r="P145" s="2" t="s">
        <x:v>28</x:v>
      </x:c>
      <x:c r="Q145" s="2" t="s">
        <x:v>28</x:v>
      </x:c>
      <x:c r="R145" s="2" t="s">
        <x:v>28</x:v>
      </x:c>
      <x:c r="S145" s="2" t="s">
        <x:v>28</x:v>
      </x:c>
      <x:c r="T145" s="2" t="s">
        <x:v>28</x:v>
      </x:c>
      <x:c r="U145" s="2" t="s">
        <x:v>28</x:v>
      </x:c>
      <x:c r="V145" s="2" t="s">
        <x:v>28</x:v>
      </x:c>
      <x:c r="W145" s="2" t="s">
        <x:v>28</x:v>
      </x:c>
      <x:c r="X145" s="2" t="s">
        <x:v>28</x:v>
      </x:c>
      <x:c r="Y145" s="2" t="s">
        <x:v>28</x:v>
      </x:c>
      <x:c r="Z145" s="9" t="s">
        <x:v>318</x:v>
      </x:c>
      <x:c r="AA145" s="57" t="str">
        <x:v>Snapshot only — run GitHub workflow</x:v>
      </x:c>
      <x:c r="AB145" s="58" t="str">
        <x:f>IFERROR(H145/G145,"")</x:f>
      </x:c>
      <x:c r="AC145" s="57" t="str"/>
      <x:c r="AD145" s="57" t="str"/>
      <x:c r="AE145" s="57" t="str"/>
      <x:c r="AF145" s="57" t="str"/>
      <x:c r="AG145" s="2"/>
      <x:c r="AH145" s="2"/>
    </x:row>
    <x:row r="146" ht="15.75" customHeight="1">
      <x:c r="A146" s="2" t="s">
        <x:v>306</x:v>
      </x:c>
      <x:c r="B146" s="2" t="s">
        <x:v>307</x:v>
      </x:c>
      <x:c r="C146" s="3" t="e">
        <x:f>HYPERLINK("https://scan.mypinata.cloud/ipfs/bafybeih3olry3is4e4lzm7rus5l3h6zrphcal5a7ayfkhzm5oivjro2cp4/#/address/0x4E5dC8DDeE98471db9E32F4320bDC4E77c184e44", "0x4E5dC8DDeE98471db9E32F4320bDC4E77c184e44")</x:f>
      </x:c>
      <x:c r="D146" s="4" t="str">
        <x:f t="shared" si="10"/>
        <x:v>Atropa Dev</x:v>
      </x:c>
      <x:c r="E146" s="4" t="e">
        <x:f>HYPERLINK("https://scan.mypinata.cloud/ipfs/bafybeih3olry3is4e4lzm7rus5l3h6zrphcal5a7ayfkhzm5oivjro2cp4/#/block/18571458", "18571458")</x:f>
      </x:c>
      <x:c r="F146" s="4" t="e">
        <x:f>HYPERLINK("https://scan.mypinata.cloud/ipfs/bafybeih3olry3is4e4lzm7rus5l3h6zrphcal5a7ayfkhzm5oivjro2cp4/#/tx/0xb0f4a044dda3d985c6ab9af700a6b9d2660ea3297e94f2caade20a92e7d0e3f2", "2023-10-14 21:12:35")</x:f>
      </x:c>
      <x:c r="G146" s="5">
        <x:v>0.0</x:v>
      </x:c>
      <x:c r="H146" s="5">
        <x:v>0.0</x:v>
      </x:c>
      <x:c r="I146" s="5">
        <x:v>0.0</x:v>
      </x:c>
      <x:c r="J146" s="5">
        <x:v>0.0</x:v>
      </x:c>
      <x:c r="K146" s="5">
        <x:v>0.0</x:v>
      </x:c>
      <x:c r="L146" s="2" t="s">
        <x:v>28</x:v>
      </x:c>
      <x:c r="M146" s="2" t="s">
        <x:v>28</x:v>
      </x:c>
      <x:c r="N146" s="2" t="e">
        <x:f>IFERROR(__xludf.DUMMYFUNCTION("IF(ISDATE(TO_DATE(L146)), MAX(0, ROUND(TODAY() - TO_DATE(L146)), 0), ""-"")"),"-")</x:f>
      </x:c>
      <x:c r="O146" s="2" t="e">
        <x:f>IFERROR(__xludf.DUMMYFUNCTION("IF(ISDATE(TO_DATE(M146)), MAX(0, ROUND(TODAY() - TO_DATE(M146)), 0), ""-"")"),"-")</x:f>
      </x:c>
      <x:c r="P146" s="2" t="s">
        <x:v>28</x:v>
      </x:c>
      <x:c r="Q146" s="2" t="s">
        <x:v>28</x:v>
      </x:c>
      <x:c r="R146" s="2" t="s">
        <x:v>28</x:v>
      </x:c>
      <x:c r="S146" s="2" t="s">
        <x:v>28</x:v>
      </x:c>
      <x:c r="T146" s="2" t="s">
        <x:v>28</x:v>
      </x:c>
      <x:c r="U146" s="2" t="s">
        <x:v>28</x:v>
      </x:c>
      <x:c r="V146" s="2" t="s">
        <x:v>28</x:v>
      </x:c>
      <x:c r="W146" s="2" t="s">
        <x:v>28</x:v>
      </x:c>
      <x:c r="X146" s="2" t="s">
        <x:v>28</x:v>
      </x:c>
      <x:c r="Y146" s="2" t="s">
        <x:v>28</x:v>
      </x:c>
      <x:c r="Z146" s="9" t="s">
        <x:v>318</x:v>
      </x:c>
      <x:c r="AA146" s="57" t="str">
        <x:v>Snapshot only — run GitHub workflow</x:v>
      </x:c>
      <x:c r="AB146" s="58" t="str">
        <x:f>IFERROR(H146/G146,"")</x:f>
      </x:c>
      <x:c r="AC146" s="57" t="str"/>
      <x:c r="AD146" s="57" t="str"/>
      <x:c r="AE146" s="57" t="str"/>
      <x:c r="AF146" s="57" t="str"/>
      <x:c r="AG146" s="2"/>
      <x:c r="AH146" s="2"/>
    </x:row>
    <x:row r="147" ht="15.75" customHeight="1">
      <x:c r="A147" s="2" t="s">
        <x:v>306</x:v>
      </x:c>
      <x:c r="B147" s="2" t="s">
        <x:v>307</x:v>
      </x:c>
      <x:c r="C147" s="3" t="e">
        <x:f>HYPERLINK("https://scan.mypinata.cloud/ipfs/bafybeih3olry3is4e4lzm7rus5l3h6zrphcal5a7ayfkhzm5oivjro2cp4/#/address/0xB0F0fDf5594d2A63660A2f71932f7Fba1426C4E4", "0xB0F0fDf5594d2A63660A2f71932f7Fba1426C4E4")</x:f>
      </x:c>
      <x:c r="D147" s="4" t="str">
        <x:f t="shared" si="10"/>
        <x:v>Atropa Dev</x:v>
      </x:c>
      <x:c r="E147" s="4" t="e">
        <x:f>HYPERLINK("https://scan.mypinata.cloud/ipfs/bafybeih3olry3is4e4lzm7rus5l3h6zrphcal5a7ayfkhzm5oivjro2cp4/#/block/18571477", "18571477")</x:f>
      </x:c>
      <x:c r="F147" s="4" t="e">
        <x:f>HYPERLINK("https://scan.mypinata.cloud/ipfs/bafybeih3olry3is4e4lzm7rus5l3h6zrphcal5a7ayfkhzm5oivjro2cp4/#/tx/0x0accd503a87efe5cbe04551ccfea999c78100e1b362f961a64da53afb153f858", "2023-10-14 21:15:45")</x:f>
      </x:c>
      <x:c r="G147" s="5">
        <x:v>0.0</x:v>
      </x:c>
      <x:c r="H147" s="5">
        <x:v>0.0</x:v>
      </x:c>
      <x:c r="I147" s="5">
        <x:v>0.0</x:v>
      </x:c>
      <x:c r="J147" s="5">
        <x:v>0.0</x:v>
      </x:c>
      <x:c r="K147" s="5">
        <x:v>0.0</x:v>
      </x:c>
      <x:c r="L147" s="2" t="s">
        <x:v>28</x:v>
      </x:c>
      <x:c r="M147" s="2" t="s">
        <x:v>28</x:v>
      </x:c>
      <x:c r="N147" s="2" t="e">
        <x:f>IFERROR(__xludf.DUMMYFUNCTION("IF(ISDATE(TO_DATE(L147)), MAX(0, ROUND(TODAY() - TO_DATE(L147)), 0), ""-"")"),"-")</x:f>
      </x:c>
      <x:c r="O147" s="2" t="e">
        <x:f>IFERROR(__xludf.DUMMYFUNCTION("IF(ISDATE(TO_DATE(M147)), MAX(0, ROUND(TODAY() - TO_DATE(M147)), 0), ""-"")"),"-")</x:f>
      </x:c>
      <x:c r="P147" s="2" t="s">
        <x:v>28</x:v>
      </x:c>
      <x:c r="Q147" s="2" t="s">
        <x:v>28</x:v>
      </x:c>
      <x:c r="R147" s="2" t="s">
        <x:v>28</x:v>
      </x:c>
      <x:c r="S147" s="2" t="s">
        <x:v>28</x:v>
      </x:c>
      <x:c r="T147" s="2" t="s">
        <x:v>28</x:v>
      </x:c>
      <x:c r="U147" s="2" t="s">
        <x:v>28</x:v>
      </x:c>
      <x:c r="V147" s="2" t="s">
        <x:v>28</x:v>
      </x:c>
      <x:c r="W147" s="2" t="s">
        <x:v>28</x:v>
      </x:c>
      <x:c r="X147" s="2" t="s">
        <x:v>28</x:v>
      </x:c>
      <x:c r="Y147" s="2" t="s">
        <x:v>28</x:v>
      </x:c>
      <x:c r="Z147" s="9" t="s">
        <x:v>317</x:v>
      </x:c>
      <x:c r="AA147" s="57" t="str">
        <x:v>Snapshot only — run GitHub workflow</x:v>
      </x:c>
      <x:c r="AB147" s="58" t="str">
        <x:f>IFERROR(H147/G147,"")</x:f>
      </x:c>
      <x:c r="AC147" s="57" t="str"/>
      <x:c r="AD147" s="57" t="str"/>
      <x:c r="AE147" s="57" t="str"/>
      <x:c r="AF147" s="57" t="str"/>
      <x:c r="AG147" s="2"/>
      <x:c r="AH147" s="2"/>
    </x:row>
    <x:row r="148" ht="15.75" customHeight="1">
      <x:c r="A148" s="2" t="s">
        <x:v>306</x:v>
      </x:c>
      <x:c r="B148" s="2" t="s">
        <x:v>307</x:v>
      </x:c>
      <x:c r="C148" s="3" t="e">
        <x:f>HYPERLINK("https://scan.mypinata.cloud/ipfs/bafybeih3olry3is4e4lzm7rus5l3h6zrphcal5a7ayfkhzm5oivjro2cp4/#/address/0x325950F00cbeBdFF0EC6637BAD2D386E0c629841", "0x325950F00cbeBdFF0EC6637BAD2D386E0c629841")</x:f>
      </x:c>
      <x:c r="D148" s="4" t="str">
        <x:f t="shared" si="10"/>
        <x:v>Atropa Dev</x:v>
      </x:c>
      <x:c r="E148" s="4" t="e">
        <x:f>HYPERLINK("https://scan.mypinata.cloud/ipfs/bafybeih3olry3is4e4lzm7rus5l3h6zrphcal5a7ayfkhzm5oivjro2cp4/#/block/18571562", "18571562")</x:f>
      </x:c>
      <x:c r="F148" s="4" t="e">
        <x:f>HYPERLINK("https://scan.mypinata.cloud/ipfs/bafybeih3olry3is4e4lzm7rus5l3h6zrphcal5a7ayfkhzm5oivjro2cp4/#/tx/0xef5bbaaab1f874578d1134fa4e745d5e9a46731b0756e0bd76dde2d1406ffb71", "2023-10-14 21:30:25")</x:f>
      </x:c>
      <x:c r="G148" s="5">
        <x:v>0.0</x:v>
      </x:c>
      <x:c r="H148" s="5">
        <x:v>0.0</x:v>
      </x:c>
      <x:c r="I148" s="5">
        <x:v>0.0</x:v>
      </x:c>
      <x:c r="J148" s="5">
        <x:v>0.0</x:v>
      </x:c>
      <x:c r="K148" s="5">
        <x:v>0.0</x:v>
      </x:c>
      <x:c r="L148" s="2" t="s">
        <x:v>28</x:v>
      </x:c>
      <x:c r="M148" s="2" t="s">
        <x:v>28</x:v>
      </x:c>
      <x:c r="N148" s="2" t="e">
        <x:f>IFERROR(__xludf.DUMMYFUNCTION("IF(ISDATE(TO_DATE(L148)), MAX(0, ROUND(TODAY() - TO_DATE(L148)), 0), ""-"")"),"-")</x:f>
      </x:c>
      <x:c r="O148" s="2" t="e">
        <x:f>IFERROR(__xludf.DUMMYFUNCTION("IF(ISDATE(TO_DATE(M148)), MAX(0, ROUND(TODAY() - TO_DATE(M148)), 0), ""-"")"),"-")</x:f>
      </x:c>
      <x:c r="P148" s="2" t="s">
        <x:v>28</x:v>
      </x:c>
      <x:c r="Q148" s="2" t="s">
        <x:v>28</x:v>
      </x:c>
      <x:c r="R148" s="2" t="s">
        <x:v>28</x:v>
      </x:c>
      <x:c r="S148" s="2" t="s">
        <x:v>28</x:v>
      </x:c>
      <x:c r="T148" s="2" t="s">
        <x:v>28</x:v>
      </x:c>
      <x:c r="U148" s="2" t="s">
        <x:v>28</x:v>
      </x:c>
      <x:c r="V148" s="2" t="s">
        <x:v>28</x:v>
      </x:c>
      <x:c r="W148" s="2" t="s">
        <x:v>28</x:v>
      </x:c>
      <x:c r="X148" s="2" t="s">
        <x:v>28</x:v>
      </x:c>
      <x:c r="Y148" s="2" t="s">
        <x:v>28</x:v>
      </x:c>
      <x:c r="Z148" s="9" t="s">
        <x:v>318</x:v>
      </x:c>
      <x:c r="AA148" s="57" t="str">
        <x:v>Snapshot only — run GitHub workflow</x:v>
      </x:c>
      <x:c r="AB148" s="58" t="str">
        <x:f>IFERROR(H148/G148,"")</x:f>
      </x:c>
      <x:c r="AC148" s="57" t="str"/>
      <x:c r="AD148" s="57" t="str"/>
      <x:c r="AE148" s="57" t="str"/>
      <x:c r="AF148" s="57" t="str"/>
      <x:c r="AG148" s="2"/>
      <x:c r="AH148" s="2"/>
    </x:row>
    <x:row r="149" ht="15.75" customHeight="1">
      <x:c r="A149" s="2" t="s">
        <x:v>319</x:v>
      </x:c>
      <x:c r="B149" s="2" t="s">
        <x:v>320</x:v>
      </x:c>
      <x:c r="C149" s="3" t="e">
        <x:f>HYPERLINK("https://scan.mypinata.cloud/ipfs/bafybeih3olry3is4e4lzm7rus5l3h6zrphcal5a7ayfkhzm5oivjro2cp4/#/address/0xFE9b99eCC43cb423408b975cc5ff439e5ABaCb61", "0xFE9b99eCC43cb423408b975cc5ff439e5ABaCb61")</x:f>
      </x:c>
      <x:c r="D149" s="4" t="str">
        <x:f t="shared" si="10"/>
        <x:v>Atropa Dev</x:v>
      </x:c>
      <x:c r="E149" s="4" t="e">
        <x:f>HYPERLINK("https://scan.mypinata.cloud/ipfs/bafybeih3olry3is4e4lzm7rus5l3h6zrphcal5a7ayfkhzm5oivjro2cp4/#/block/18596609", "18596609")</x:f>
      </x:c>
      <x:c r="F149" s="4" t="e">
        <x:f>HYPERLINK("https://scan.mypinata.cloud/ipfs/bafybeih3olry3is4e4lzm7rus5l3h6zrphcal5a7ayfkhzm5oivjro2cp4/#/tx/0xbedcb6e41e2f993aac8cb65cf3b5dd1cd140254f3fd92c4db2a125e373794db1", "2023-10-17 20:11:45")</x:f>
      </x:c>
      <x:c r="G149" s="5">
        <x:v>112.0</x:v>
      </x:c>
      <x:c r="H149" s="5">
        <x:v>112.0</x:v>
      </x:c>
      <x:c r="I149" s="5">
        <x:v>112.0</x:v>
      </x:c>
      <x:c r="J149" s="5">
        <x:v>0.0</x:v>
      </x:c>
      <x:c r="K149" s="5">
        <x:v>0.0</x:v>
      </x:c>
      <x:c r="L149" s="2" t="s">
        <x:v>28</x:v>
      </x:c>
      <x:c r="M149" s="2" t="s">
        <x:v>28</x:v>
      </x:c>
      <x:c r="N149" s="2" t="e">
        <x:f>IFERROR(__xludf.DUMMYFUNCTION("IF(ISDATE(TO_DATE(L149)), MAX(0, ROUND(TODAY() - TO_DATE(L149)), 0), ""-"")"),"-")</x:f>
      </x:c>
      <x:c r="O149" s="2" t="e">
        <x:f>IFERROR(__xludf.DUMMYFUNCTION("IF(ISDATE(TO_DATE(M149)), MAX(0, ROUND(TODAY() - TO_DATE(M149)), 0), ""-"")"),"-")</x:f>
      </x:c>
      <x:c r="P149" s="6">
        <x:v>1984.082</x:v>
      </x:c>
      <x:c r="Q149" s="6">
        <x:v>4.91763445929E7</x:v>
      </x:c>
      <x:c r="R149" s="7">
        <x:v>222217.184</x:v>
      </x:c>
      <x:c r="S149" s="7">
        <x:v>222217.0</x:v>
      </x:c>
      <x:c r="T149" s="7">
        <x:v>578.88</x:v>
      </x:c>
      <x:c r="U149" s="7">
        <x:v>47465.08</x:v>
      </x:c>
      <x:c r="V149" s="2" t="s">
        <x:v>28</x:v>
      </x:c>
      <x:c r="W149" s="2" t="s">
        <x:v>28</x:v>
      </x:c>
      <x:c r="X149" s="2" t="s">
        <x:v>28</x:v>
      </x:c>
      <x:c r="Y149" s="2" t="s">
        <x:v>28</x:v>
      </x:c>
      <x:c r="Z149" s="9" t="s">
        <x:v>321</x:v>
      </x:c>
      <x:c r="AA149" s="57" t="str">
        <x:v>Snapshot only — run GitHub workflow</x:v>
      </x:c>
      <x:c r="AB149" s="58" t="n">
        <x:f>IFERROR(H149/G149,"")</x:f>
        <x:v>1</x:v>
      </x:c>
      <x:c r="AC149" s="57" t="str"/>
      <x:c r="AD149" s="57" t="str"/>
      <x:c r="AE149" s="57" t="str"/>
      <x:c r="AF149" s="57" t="str"/>
      <x:c r="AG149" s="2"/>
      <x:c r="AH149" s="2"/>
    </x:row>
    <x:row r="150" ht="15.75" customHeight="1">
      <x:c r="A150" s="2" t="s">
        <x:v>322</x:v>
      </x:c>
      <x:c r="B150" s="2" t="s">
        <x:v>323</x:v>
      </x:c>
      <x:c r="C150" s="3" t="e">
        <x:f>HYPERLINK("https://scan.mypinata.cloud/ipfs/bafybeih3olry3is4e4lzm7rus5l3h6zrphcal5a7ayfkhzm5oivjro2cp4/#/address/0x363DccBcabf8e602ba237399Da4845CC45D0d68B", "0x363DccBcabf8e602ba237399Da4845CC45D0d68B")</x:f>
      </x:c>
      <x:c r="D150" s="4" t="str">
        <x:f t="shared" si="10"/>
        <x:v>Atropa Dev</x:v>
      </x:c>
      <x:c r="E150" s="4" t="e">
        <x:f>HYPERLINK("https://scan.mypinata.cloud/ipfs/bafybeih3olry3is4e4lzm7rus5l3h6zrphcal5a7ayfkhzm5oivjro2cp4/#/block/18613648", "18613648")</x:f>
      </x:c>
      <x:c r="F150" s="4" t="e">
        <x:f>HYPERLINK("https://scan.mypinata.cloud/ipfs/bafybeih3olry3is4e4lzm7rus5l3h6zrphcal5a7ayfkhzm5oivjro2cp4/#/tx/0xbc3df5a397dd76def1588b2ebb9b7ef76af5afdcdf14d763115551070841334c", "2023-10-19 20:47:45")</x:f>
      </x:c>
      <x:c r="G150" s="5">
        <x:v>666.0</x:v>
      </x:c>
      <x:c r="H150" s="5">
        <x:v>666.0</x:v>
      </x:c>
      <x:c r="I150" s="5">
        <x:v>666.0</x:v>
      </x:c>
      <x:c r="J150" s="5">
        <x:v>0.0</x:v>
      </x:c>
      <x:c r="K150" s="5">
        <x:v>0.0</x:v>
      </x:c>
      <x:c r="L150" s="2" t="s">
        <x:v>28</x:v>
      </x:c>
      <x:c r="M150" s="2" t="s">
        <x:v>28</x:v>
      </x:c>
      <x:c r="N150" s="2" t="e">
        <x:f>IFERROR(__xludf.DUMMYFUNCTION("IF(ISDATE(TO_DATE(L150)), MAX(0, ROUND(TODAY() - TO_DATE(L150)), 0), ""-"")"),"-")</x:f>
      </x:c>
      <x:c r="O150" s="2" t="e">
        <x:f>IFERROR(__xludf.DUMMYFUNCTION("IF(ISDATE(TO_DATE(M150)), MAX(0, ROUND(TODAY() - TO_DATE(M150)), 0), ""-"")"),"-")</x:f>
      </x:c>
      <x:c r="P150" s="2" t="s">
        <x:v>28</x:v>
      </x:c>
      <x:c r="Q150" s="2" t="s">
        <x:v>28</x:v>
      </x:c>
      <x:c r="R150" s="2" t="s">
        <x:v>28</x:v>
      </x:c>
      <x:c r="S150" s="2" t="s">
        <x:v>28</x:v>
      </x:c>
      <x:c r="T150" s="2" t="s">
        <x:v>28</x:v>
      </x:c>
      <x:c r="U150" s="2" t="s">
        <x:v>28</x:v>
      </x:c>
      <x:c r="V150" s="2" t="s">
        <x:v>28</x:v>
      </x:c>
      <x:c r="W150" s="2" t="s">
        <x:v>28</x:v>
      </x:c>
      <x:c r="X150" s="2" t="s">
        <x:v>28</x:v>
      </x:c>
      <x:c r="Y150" s="2" t="s">
        <x:v>28</x:v>
      </x:c>
      <x:c r="Z150" s="9" t="s">
        <x:v>324</x:v>
      </x:c>
      <x:c r="AA150" s="57" t="str">
        <x:v>Snapshot only — run GitHub workflow</x:v>
      </x:c>
      <x:c r="AB150" s="58" t="n">
        <x:f>IFERROR(H150/G150,"")</x:f>
        <x:v>1</x:v>
      </x:c>
      <x:c r="AC150" s="57" t="str"/>
      <x:c r="AD150" s="57" t="str"/>
      <x:c r="AE150" s="57" t="str"/>
      <x:c r="AF150" s="57" t="str"/>
      <x:c r="AG150" s="2"/>
      <x:c r="AH150" s="2"/>
    </x:row>
    <x:row r="151" ht="15.75" customHeight="1">
      <x:c r="A151" s="2" t="s">
        <x:v>325</x:v>
      </x:c>
      <x:c r="B151" s="2" t="s">
        <x:v>326</x:v>
      </x:c>
      <x:c r="C151" s="3" t="e">
        <x:f>HYPERLINK("https://scan.mypinata.cloud/ipfs/bafybeih3olry3is4e4lzm7rus5l3h6zrphcal5a7ayfkhzm5oivjro2cp4/#/address/0xB8FaCE58CB05C55BBBA9c564A550cc2402A40b5b", "0xB8FaCE58CB05C55BBBA9c564A550cc2402A40b5b")</x:f>
      </x:c>
      <x:c r="D151" s="4" t="str">
        <x:f t="shared" si="10"/>
        <x:v>Atropa Dev</x:v>
      </x:c>
      <x:c r="E151" s="4" t="e">
        <x:f>HYPERLINK("https://scan.mypinata.cloud/ipfs/bafybeih3olry3is4e4lzm7rus5l3h6zrphcal5a7ayfkhzm5oivjro2cp4/#/block/18613702", "18613702")</x:f>
      </x:c>
      <x:c r="F151" s="4" t="e">
        <x:f>HYPERLINK("https://scan.mypinata.cloud/ipfs/bafybeih3olry3is4e4lzm7rus5l3h6zrphcal5a7ayfkhzm5oivjro2cp4/#/tx/0xeaf380c4a278e26f7f0569c657b1eb9037e81fe11c986c10fac41c33f945fb79", "2023-10-19 20:57:25")</x:f>
      </x:c>
      <x:c r="G151" s="5">
        <x:v>1.0</x:v>
      </x:c>
      <x:c r="H151" s="5">
        <x:v>1.0</x:v>
      </x:c>
      <x:c r="I151" s="5">
        <x:v>1.0</x:v>
      </x:c>
      <x:c r="J151" s="5">
        <x:v>0.0</x:v>
      </x:c>
      <x:c r="K151" s="5">
        <x:v>0.0</x:v>
      </x:c>
      <x:c r="L151" s="2" t="s">
        <x:v>28</x:v>
      </x:c>
      <x:c r="M151" s="2" t="s">
        <x:v>28</x:v>
      </x:c>
      <x:c r="N151" s="2" t="e">
        <x:f>IFERROR(__xludf.DUMMYFUNCTION("IF(ISDATE(TO_DATE(L151)), MAX(0, ROUND(TODAY() - TO_DATE(L151)), 0), ""-"")"),"-")</x:f>
      </x:c>
      <x:c r="O151" s="2" t="e">
        <x:f>IFERROR(__xludf.DUMMYFUNCTION("IF(ISDATE(TO_DATE(M151)), MAX(0, ROUND(TODAY() - TO_DATE(M151)), 0), ""-"")"),"-")</x:f>
      </x:c>
      <x:c r="P151" s="6">
        <x:v>27761.14</x:v>
      </x:c>
      <x:c r="Q151" s="6">
        <x:v>6.880717533506E8</x:v>
      </x:c>
      <x:c r="R151" s="7">
        <x:v>27761.14</x:v>
      </x:c>
      <x:c r="S151" s="7">
        <x:v>27761.0</x:v>
      </x:c>
      <x:c r="T151" s="7">
        <x:v>12.25</x:v>
      </x:c>
      <x:c r="U151" s="7">
        <x:v>603.44</x:v>
      </x:c>
      <x:c r="V151" s="2" t="s">
        <x:v>28</x:v>
      </x:c>
      <x:c r="W151" s="2" t="s">
        <x:v>28</x:v>
      </x:c>
      <x:c r="X151" s="2" t="s">
        <x:v>28</x:v>
      </x:c>
      <x:c r="Y151" s="2" t="s">
        <x:v>28</x:v>
      </x:c>
      <x:c r="Z151" s="9" t="s">
        <x:v>318</x:v>
      </x:c>
      <x:c r="AA151" s="57" t="str">
        <x:v>Snapshot only — run GitHub workflow</x:v>
      </x:c>
      <x:c r="AB151" s="58" t="n">
        <x:f>IFERROR(H151/G151,"")</x:f>
        <x:v>1</x:v>
      </x:c>
      <x:c r="AC151" s="57" t="str"/>
      <x:c r="AD151" s="57" t="str"/>
      <x:c r="AE151" s="57" t="str"/>
      <x:c r="AF151" s="57" t="str"/>
      <x:c r="AG151" s="2"/>
      <x:c r="AH151" s="2"/>
    </x:row>
    <x:row r="152" ht="15.75" customHeight="1">
      <x:c r="A152" s="2" t="s">
        <x:v>327</x:v>
      </x:c>
      <x:c r="B152" s="2" t="s">
        <x:v>328</x:v>
      </x:c>
      <x:c r="C152" s="3" t="e">
        <x:f>HYPERLINK("https://scan.mypinata.cloud/ipfs/bafybeih3olry3is4e4lzm7rus5l3h6zrphcal5a7ayfkhzm5oivjro2cp4/#/address/0x54D88F0c4a738247DadF160923E1b1C5dc4F510f", "0x54D88F0c4a738247DadF160923E1b1C5dc4F510f")</x:f>
      </x:c>
      <x:c r="D152" s="4" t="str">
        <x:f t="shared" si="10"/>
        <x:v>Atropa Dev</x:v>
      </x:c>
      <x:c r="E152" s="4" t="e">
        <x:f>HYPERLINK("https://scan.mypinata.cloud/ipfs/bafybeih3olry3is4e4lzm7rus5l3h6zrphcal5a7ayfkhzm5oivjro2cp4/#/block/18627798", "18627798")</x:f>
      </x:c>
      <x:c r="F152" s="4" t="e">
        <x:f>HYPERLINK("https://scan.mypinata.cloud/ipfs/bafybeih3olry3is4e4lzm7rus5l3h6zrphcal5a7ayfkhzm5oivjro2cp4/#/tx/0xaa64dab344dbcbc1ee0cb8ff12c5561d17bd92756a2931683295e3111b48aef0", "2023-10-21 12:57:05")</x:f>
      </x:c>
      <x:c r="G152" s="5">
        <x:v>3359.0</x:v>
      </x:c>
      <x:c r="H152" s="5">
        <x:v>3359.0</x:v>
      </x:c>
      <x:c r="I152" s="5">
        <x:v>3359.0</x:v>
      </x:c>
      <x:c r="J152" s="5">
        <x:v>0.0</x:v>
      </x:c>
      <x:c r="K152" s="5">
        <x:v>0.0</x:v>
      </x:c>
      <x:c r="L152" s="2" t="s">
        <x:v>28</x:v>
      </x:c>
      <x:c r="M152" s="2" t="s">
        <x:v>28</x:v>
      </x:c>
      <x:c r="N152" s="2" t="e">
        <x:f>IFERROR(__xludf.DUMMYFUNCTION("IF(ISDATE(TO_DATE(L152)), MAX(0, ROUND(TODAY() - TO_DATE(L152)), 0), ""-"")"),"-")</x:f>
      </x:c>
      <x:c r="O152" s="2" t="e">
        <x:f>IFERROR(__xludf.DUMMYFUNCTION("IF(ISDATE(TO_DATE(M152)), MAX(0, ROUND(TODAY() - TO_DATE(M152)), 0), ""-"")"),"-")</x:f>
      </x:c>
      <x:c r="P152" s="6">
        <x:v>24.74</x:v>
      </x:c>
      <x:c r="Q152" s="6">
        <x:v>616141.1316</x:v>
      </x:c>
      <x:c r="R152" s="7">
        <x:v>83101.66</x:v>
      </x:c>
      <x:c r="S152" s="7">
        <x:v>83102.0</x:v>
      </x:c>
      <x:c r="T152" s="7">
        <x:v>203.33999999999997</x:v>
      </x:c>
      <x:c r="U152" s="7">
        <x:v>16691.780000000002</x:v>
      </x:c>
      <x:c r="V152" s="2" t="s">
        <x:v>28</x:v>
      </x:c>
      <x:c r="W152" s="2" t="s">
        <x:v>28</x:v>
      </x:c>
      <x:c r="X152" s="2" t="s">
        <x:v>28</x:v>
      </x:c>
      <x:c r="Y152" s="2" t="s">
        <x:v>28</x:v>
      </x:c>
      <x:c r="Z152" s="9" t="s">
        <x:v>329</x:v>
      </x:c>
      <x:c r="AA152" s="57" t="str">
        <x:v>Snapshot only — run GitHub workflow</x:v>
      </x:c>
      <x:c r="AB152" s="58" t="n">
        <x:f>IFERROR(H152/G152,"")</x:f>
        <x:v>1</x:v>
      </x:c>
      <x:c r="AC152" s="57" t="str"/>
      <x:c r="AD152" s="57" t="str"/>
      <x:c r="AE152" s="57" t="str"/>
      <x:c r="AF152" s="57" t="str"/>
      <x:c r="AG152" s="2"/>
      <x:c r="AH152" s="2"/>
    </x:row>
    <x:row r="153" ht="15.75" customHeight="1">
      <x:c r="A153" s="12" t="s">
        <x:v>330</x:v>
      </x:c>
      <x:c r="B153" s="12" t="s">
        <x:v>331</x:v>
      </x:c>
      <x:c r="C153" s="13" t="e">
        <x:f>HYPERLINK("https://scan.mypinata.cloud/ipfs/bafybeih3olry3is4e4lzm7rus5l3h6zrphcal5a7ayfkhzm5oivjro2cp4/#/address/0x7e80579Ef57A2b80e1E7bC181a5caC98767d24AB", "0x7e80579Ef57A2b80e1E7bC181a5caC98767d24AB")</x:f>
      </x:c>
      <x:c r="D153" s="14" t="str">
        <x:f t="shared" si="10"/>
        <x:v>Atropa Dev</x:v>
      </x:c>
      <x:c r="E153" s="14" t="e">
        <x:f>HYPERLINK("https://scan.mypinata.cloud/ipfs/bafybeih3olry3is4e4lzm7rus5l3h6zrphcal5a7ayfkhzm5oivjro2cp4/#/block/18628215", "18628215")</x:f>
      </x:c>
      <x:c r="F153" s="14" t="e">
        <x:f>HYPERLINK("https://scan.mypinata.cloud/ipfs/bafybeih3olry3is4e4lzm7rus5l3h6zrphcal5a7ayfkhzm5oivjro2cp4/#/tx/0xb34b3cb6790f8d81c10eda61e6442e3c4ac11a67e1361afdfe3021ef206e619a", "2023-10-21 14:07:35")</x:f>
      </x:c>
      <x:c r="G153" s="15">
        <x:v>666.0</x:v>
      </x:c>
      <x:c r="H153" s="15">
        <x:v>666.0</x:v>
      </x:c>
      <x:c r="I153" s="15">
        <x:v>666.0</x:v>
      </x:c>
      <x:c r="J153" s="15">
        <x:v>0.0</x:v>
      </x:c>
      <x:c r="K153" s="15">
        <x:v>0.0</x:v>
      </x:c>
      <x:c r="L153" s="16" t="s">
        <x:v>28</x:v>
      </x:c>
      <x:c r="M153" s="16" t="s">
        <x:v>28</x:v>
      </x:c>
      <x:c r="N153" s="16" t="e">
        <x:f>IFERROR(__xludf.DUMMYFUNCTION("IF(ISDATE(TO_DATE(L153)), MAX(0, ROUND(TODAY() - TO_DATE(L153)), 0), ""-"")"),"-")</x:f>
      </x:c>
      <x:c r="O153" s="16" t="e">
        <x:f>IFERROR(__xludf.DUMMYFUNCTION("IF(ISDATE(TO_DATE(M153)), MAX(0, ROUND(TODAY() - TO_DATE(M153)), 0), ""-"")"),"-")</x:f>
      </x:c>
      <x:c r="P153" s="16" t="s">
        <x:v>28</x:v>
      </x:c>
      <x:c r="Q153" s="16" t="s">
        <x:v>28</x:v>
      </x:c>
      <x:c r="R153" s="16" t="s">
        <x:v>28</x:v>
      </x:c>
      <x:c r="S153" s="16" t="s">
        <x:v>28</x:v>
      </x:c>
      <x:c r="T153" s="16" t="s">
        <x:v>28</x:v>
      </x:c>
      <x:c r="U153" s="16" t="s">
        <x:v>28</x:v>
      </x:c>
      <x:c r="V153" s="16" t="s">
        <x:v>28</x:v>
      </x:c>
      <x:c r="W153" s="16" t="s">
        <x:v>28</x:v>
      </x:c>
      <x:c r="X153" s="16" t="s">
        <x:v>28</x:v>
      </x:c>
      <x:c r="Y153" s="16" t="s">
        <x:v>28</x:v>
      </x:c>
      <x:c r="Z153" s="19" t="s">
        <x:v>332</x:v>
      </x:c>
      <x:c r="AA153" s="37" t="str">
        <x:v>Snapshot only — run GitHub workflow</x:v>
      </x:c>
      <x:c r="AB153" s="59" t="n">
        <x:f>IFERROR(H153/G153,"")</x:f>
        <x:v>1</x:v>
      </x:c>
      <x:c r="AC153" s="37" t="str"/>
      <x:c r="AD153" s="37" t="str"/>
      <x:c r="AE153" s="37" t="str"/>
      <x:c r="AF153" s="37" t="str"/>
      <x:c r="AG153" s="16"/>
      <x:c r="AH153" s="16"/>
    </x:row>
    <x:row r="154" ht="15.75" customHeight="1">
      <x:c r="A154" s="2" t="s">
        <x:v>333</x:v>
      </x:c>
      <x:c r="B154" s="2" t="s">
        <x:v>334</x:v>
      </x:c>
      <x:c r="C154" s="3" t="e">
        <x:f>HYPERLINK("https://scan.mypinata.cloud/ipfs/bafybeih3olry3is4e4lzm7rus5l3h6zrphcal5a7ayfkhzm5oivjro2cp4/#/address/0xe63B65d23434555841e71ea32F470EA4879e973D", "0xe63B65d23434555841e71ea32F470EA4879e973D")</x:f>
      </x:c>
      <x:c r="D154" s="4" t="str">
        <x:f t="shared" si="10"/>
        <x:v>Atropa Dev</x:v>
      </x:c>
      <x:c r="E154" s="4" t="e">
        <x:f>HYPERLINK("https://scan.mypinata.cloud/ipfs/bafybeih3olry3is4e4lzm7rus5l3h6zrphcal5a7ayfkhzm5oivjro2cp4/#/block/18687725", "18687725")</x:f>
      </x:c>
      <x:c r="F154" s="4" t="e">
        <x:f>HYPERLINK("https://scan.mypinata.cloud/ipfs/bafybeih3olry3is4e4lzm7rus5l3h6zrphcal5a7ayfkhzm5oivjro2cp4/#/tx/0x7d66589ccf0a943ee2c0c42e62f4883b3c390ef9d355f97890f5c11e4b268ee6", "2023-10-28 14:29:25")</x:f>
      </x:c>
      <x:c r="G154" s="5">
        <x:v>1.0</x:v>
      </x:c>
      <x:c r="H154" s="5">
        <x:v>1.0</x:v>
      </x:c>
      <x:c r="I154" s="5">
        <x:v>1.0</x:v>
      </x:c>
      <x:c r="J154" s="5">
        <x:v>0.0</x:v>
      </x:c>
      <x:c r="K154" s="5">
        <x:v>0.0</x:v>
      </x:c>
      <x:c r="L154" s="2" t="s">
        <x:v>28</x:v>
      </x:c>
      <x:c r="M154" s="2" t="s">
        <x:v>28</x:v>
      </x:c>
      <x:c r="N154" s="2" t="e">
        <x:f>IFERROR(__xludf.DUMMYFUNCTION("IF(ISDATE(TO_DATE(L154)), MAX(0, ROUND(TODAY() - TO_DATE(L154)), 0), ""-"")"),"-")</x:f>
      </x:c>
      <x:c r="O154" s="2" t="e">
        <x:f>IFERROR(__xludf.DUMMYFUNCTION("IF(ISDATE(TO_DATE(M154)), MAX(0, ROUND(TODAY() - TO_DATE(M154)), 0), ""-"")"),"-")</x:f>
      </x:c>
      <x:c r="P154" s="2" t="s">
        <x:v>28</x:v>
      </x:c>
      <x:c r="Q154" s="2" t="s">
        <x:v>28</x:v>
      </x:c>
      <x:c r="R154" s="2" t="s">
        <x:v>28</x:v>
      </x:c>
      <x:c r="S154" s="2" t="s">
        <x:v>28</x:v>
      </x:c>
      <x:c r="T154" s="2" t="s">
        <x:v>28</x:v>
      </x:c>
      <x:c r="U154" s="2" t="s">
        <x:v>28</x:v>
      </x:c>
      <x:c r="V154" s="2" t="s">
        <x:v>28</x:v>
      </x:c>
      <x:c r="W154" s="2" t="s">
        <x:v>28</x:v>
      </x:c>
      <x:c r="X154" s="2" t="s">
        <x:v>28</x:v>
      </x:c>
      <x:c r="Y154" s="2" t="s">
        <x:v>28</x:v>
      </x:c>
      <x:c r="Z154" s="9" t="s">
        <x:v>335</x:v>
      </x:c>
      <x:c r="AA154" s="57" t="str">
        <x:v>Snapshot only — run GitHub workflow</x:v>
      </x:c>
      <x:c r="AB154" s="58" t="n">
        <x:f>IFERROR(H154/G154,"")</x:f>
        <x:v>1</x:v>
      </x:c>
      <x:c r="AC154" s="57" t="str"/>
      <x:c r="AD154" s="57" t="str"/>
      <x:c r="AE154" s="57" t="str"/>
      <x:c r="AF154" s="57" t="str"/>
      <x:c r="AG154" s="2"/>
      <x:c r="AH154" s="2"/>
    </x:row>
    <x:row r="155" ht="15.75" customHeight="1">
      <x:c r="A155" s="2" t="s">
        <x:v>336</x:v>
      </x:c>
      <x:c r="B155" s="2" t="s">
        <x:v>337</x:v>
      </x:c>
      <x:c r="C155" s="3" t="e">
        <x:f>HYPERLINK("https://scan.mypinata.cloud/ipfs/bafybeih3olry3is4e4lzm7rus5l3h6zrphcal5a7ayfkhzm5oivjro2cp4/#/address/0xFE5F16CFBA8ebC0e407b58662a20a144107484dC", "0xFE5F16CFBA8ebC0e407b58662a20a144107484dC")</x:f>
      </x:c>
      <x:c r="D155" s="4" t="str">
        <x:f t="shared" si="10"/>
        <x:v>Atropa Dev</x:v>
      </x:c>
      <x:c r="E155" s="4" t="e">
        <x:f>HYPERLINK("https://scan.mypinata.cloud/ipfs/bafybeih3olry3is4e4lzm7rus5l3h6zrphcal5a7ayfkhzm5oivjro2cp4/#/block/18703146", "18703146")</x:f>
      </x:c>
      <x:c r="F155" s="4" t="e">
        <x:f>HYPERLINK("https://scan.mypinata.cloud/ipfs/bafybeih3olry3is4e4lzm7rus5l3h6zrphcal5a7ayfkhzm5oivjro2cp4/#/tx/0x68faa1a0b7a79f829b58b26b4ac73ee9b95f883e822a37fc4b4fddb5ead9c9ba", "2023-10-30 10:05:15")</x:f>
      </x:c>
      <x:c r="G155" s="5">
        <x:v>666.0</x:v>
      </x:c>
      <x:c r="H155" s="5">
        <x:v>666.0</x:v>
      </x:c>
      <x:c r="I155" s="5">
        <x:v>659.2735786905369</x:v>
      </x:c>
      <x:c r="J155" s="5">
        <x:v>0.0</x:v>
      </x:c>
      <x:c r="K155" s="5">
        <x:v>6.726421309463195</x:v>
      </x:c>
      <x:c r="L155" s="2" t="s">
        <x:v>28</x:v>
      </x:c>
      <x:c r="M155" s="4" t="e">
        <x:f>HYPERLINK("https://scan.mypinata.cloud/ipfs/bafybeih3olry3is4e4lzm7rus5l3h6zrphcal5a7ayfkhzm5oivjro2cp4/#/tx/0x3fc866c86d8dcc12957ae60ecbcd1ce6d3498c24841af0e259dc20452638e5ef", "2025-02-27 05:14:05")</x:f>
      </x:c>
      <x:c r="N155" s="2" t="e">
        <x:f>IFERROR(__xludf.DUMMYFUNCTION("IF(ISDATE(TO_DATE(L155)), MAX(0, ROUND(TODAY() - TO_DATE(L155)), 0), ""-"")"),"-")</x:f>
      </x:c>
      <x:c r="O155" s="2" t="e">
        <x:f>IFERROR(__xludf.DUMMYFUNCTION("IF(ISDATE(TO_DATE(M155)), MAX(0, ROUND(TODAY() - TO_DATE(M155)), 0), ""-"")"),491.0)</x:f>
      </x:c>
      <x:c r="P155" s="6">
        <x:v>11.99</x:v>
      </x:c>
      <x:c r="Q155" s="6">
        <x:v>302050.8447</x:v>
      </x:c>
      <x:c r="R155" s="7">
        <x:v>7985.34</x:v>
      </x:c>
      <x:c r="S155" s="7">
        <x:v>7907.0</x:v>
      </x:c>
      <x:c r="T155" s="7">
        <x:v>24.65</x:v>
      </x:c>
      <x:c r="U155" s="7">
        <x:v>1606.27</x:v>
      </x:c>
      <x:c r="V155" s="2" t="s">
        <x:v>28</x:v>
      </x:c>
      <x:c r="W155" s="2" t="s">
        <x:v>28</x:v>
      </x:c>
      <x:c r="X155" s="2" t="s">
        <x:v>28</x:v>
      </x:c>
      <x:c r="Y155" s="2" t="s">
        <x:v>28</x:v>
      </x:c>
      <x:c r="Z155" s="9" t="s">
        <x:v>329</x:v>
      </x:c>
      <x:c r="AA155" s="57" t="str">
        <x:v>Snapshot only — run GitHub workflow</x:v>
      </x:c>
      <x:c r="AB155" s="58" t="n">
        <x:f>IFERROR(H155/G155,"")</x:f>
        <x:v>1</x:v>
      </x:c>
      <x:c r="AC155" s="57" t="str"/>
      <x:c r="AD155" s="57" t="str"/>
      <x:c r="AE155" s="57" t="str"/>
      <x:c r="AF155" s="57" t="str"/>
      <x:c r="AG155" s="2"/>
      <x:c r="AH155" s="2"/>
    </x:row>
    <x:row r="156" ht="15.75" customHeight="1">
      <x:c r="A156" s="2" t="s">
        <x:v>338</x:v>
      </x:c>
      <x:c r="B156" s="2" t="s">
        <x:v>339</x:v>
      </x:c>
      <x:c r="C156" s="3" t="e">
        <x:f>HYPERLINK("https://scan.mypinata.cloud/ipfs/bafybeih3olry3is4e4lzm7rus5l3h6zrphcal5a7ayfkhzm5oivjro2cp4/#/address/0x9bFbCec5Ae5352F83Cef23c57758b020c71394CB", "0x9bFbCec5Ae5352F83Cef23c57758b020c71394CB")</x:f>
      </x:c>
      <x:c r="D156" s="4" t="str">
        <x:f t="shared" si="10"/>
        <x:v>Atropa Dev</x:v>
      </x:c>
      <x:c r="E156" s="4" t="e">
        <x:f>HYPERLINK("https://scan.mypinata.cloud/ipfs/bafybeih3olry3is4e4lzm7rus5l3h6zrphcal5a7ayfkhzm5oivjro2cp4/#/block/18711869", "18711869")</x:f>
      </x:c>
      <x:c r="F156" s="4" t="e">
        <x:f>HYPERLINK("https://scan.mypinata.cloud/ipfs/bafybeih3olry3is4e4lzm7rus5l3h6zrphcal5a7ayfkhzm5oivjro2cp4/#/tx/0x01e21a0fb355e6ea68841bb96cdf2593d58dc1de5de615de8ebf75042963d50a", "2023-10-31 10:34:25")</x:f>
      </x:c>
      <x:c r="G156" s="5">
        <x:v>666.0</x:v>
      </x:c>
      <x:c r="H156" s="5">
        <x:v>666.0</x:v>
      </x:c>
      <x:c r="I156" s="5">
        <x:v>666.0</x:v>
      </x:c>
      <x:c r="J156" s="5">
        <x:v>0.0</x:v>
      </x:c>
      <x:c r="K156" s="5">
        <x:v>0.0</x:v>
      </x:c>
      <x:c r="L156" s="2" t="s">
        <x:v>28</x:v>
      </x:c>
      <x:c r="M156" s="2" t="s">
        <x:v>28</x:v>
      </x:c>
      <x:c r="N156" s="2" t="e">
        <x:f>IFERROR(__xludf.DUMMYFUNCTION("IF(ISDATE(TO_DATE(L156)), MAX(0, ROUND(TODAY() - TO_DATE(L156)), 0), ""-"")"),"-")</x:f>
      </x:c>
      <x:c r="O156" s="2" t="e">
        <x:f>IFERROR(__xludf.DUMMYFUNCTION("IF(ISDATE(TO_DATE(M156)), MAX(0, ROUND(TODAY() - TO_DATE(M156)), 0), ""-"")"),"-")</x:f>
      </x:c>
      <x:c r="P156" s="2" t="s">
        <x:v>28</x:v>
      </x:c>
      <x:c r="Q156" s="2" t="s">
        <x:v>28</x:v>
      </x:c>
      <x:c r="R156" s="2" t="s">
        <x:v>28</x:v>
      </x:c>
      <x:c r="S156" s="2" t="s">
        <x:v>28</x:v>
      </x:c>
      <x:c r="T156" s="2" t="s">
        <x:v>28</x:v>
      </x:c>
      <x:c r="U156" s="2" t="s">
        <x:v>28</x:v>
      </x:c>
      <x:c r="V156" s="2" t="s">
        <x:v>28</x:v>
      </x:c>
      <x:c r="W156" s="2" t="s">
        <x:v>28</x:v>
      </x:c>
      <x:c r="X156" s="2" t="s">
        <x:v>28</x:v>
      </x:c>
      <x:c r="Y156" s="2" t="s">
        <x:v>28</x:v>
      </x:c>
      <x:c r="Z156" s="9" t="s">
        <x:v>329</x:v>
      </x:c>
      <x:c r="AA156" s="57" t="str">
        <x:v>Snapshot only — run GitHub workflow</x:v>
      </x:c>
      <x:c r="AB156" s="58" t="n">
        <x:f>IFERROR(H156/G156,"")</x:f>
        <x:v>1</x:v>
      </x:c>
      <x:c r="AC156" s="57" t="str"/>
      <x:c r="AD156" s="57" t="str"/>
      <x:c r="AE156" s="57" t="str"/>
      <x:c r="AF156" s="57" t="str"/>
      <x:c r="AG156" s="2"/>
      <x:c r="AH156" s="2"/>
    </x:row>
    <x:row r="157" ht="15.75" customHeight="1">
      <x:c r="A157" s="2" t="s">
        <x:v>340</x:v>
      </x:c>
      <x:c r="B157" s="2" t="s">
        <x:v>341</x:v>
      </x:c>
      <x:c r="C157" s="3" t="e">
        <x:f>HYPERLINK("https://scan.mypinata.cloud/ipfs/bafybeih3olry3is4e4lzm7rus5l3h6zrphcal5a7ayfkhzm5oivjro2cp4/#/address/0xE35A842eb1EDca4C710B6c1B1565cE7df13f5996", "0xE35A842eb1EDca4C710B6c1B1565cE7df13f5996")</x:f>
      </x:c>
      <x:c r="D157" s="4" t="str">
        <x:f t="shared" si="10"/>
        <x:v>Atropa Dev</x:v>
      </x:c>
      <x:c r="E157" s="4" t="e">
        <x:f>HYPERLINK("https://scan.mypinata.cloud/ipfs/bafybeih3olry3is4e4lzm7rus5l3h6zrphcal5a7ayfkhzm5oivjro2cp4/#/block/18758130", "18758130")</x:f>
      </x:c>
      <x:c r="F157" s="4" t="e">
        <x:f>HYPERLINK("https://scan.mypinata.cloud/ipfs/bafybeih3olry3is4e4lzm7rus5l3h6zrphcal5a7ayfkhzm5oivjro2cp4/#/tx/0xa661b386c0903add319bf6f46ae202e0e777d3f9ad22e0ff173e8c1d01ff8857", "2023-11-05 21:26:55")</x:f>
      </x:c>
      <x:c r="G157" s="5">
        <x:v>777.0</x:v>
      </x:c>
      <x:c r="H157" s="5">
        <x:v>684.926867940524</x:v>
      </x:c>
      <x:c r="I157" s="5">
        <x:v>683.8867254155822</x:v>
      </x:c>
      <x:c r="J157" s="5">
        <x:v>0.0</x:v>
      </x:c>
      <x:c r="K157" s="5">
        <x:v>93.11327458441782</x:v>
      </x:c>
      <x:c r="L157" s="2" t="s">
        <x:v>28</x:v>
      </x:c>
      <x:c r="M157" s="4" t="e">
        <x:f>HYPERLINK("https://scan.mypinata.cloud/ipfs/bafybeih3olry3is4e4lzm7rus5l3h6zrphcal5a7ayfkhzm5oivjro2cp4/#/tx/0x53c95f40ecdb8b01fdc0c74a94a9230aa694e4974cca3427ed2e258dae844c1c", "2025-02-27 13:54:55")</x:f>
      </x:c>
      <x:c r="N157" s="2" t="e">
        <x:f>IFERROR(__xludf.DUMMYFUNCTION("IF(ISDATE(TO_DATE(L157)), MAX(0, ROUND(TODAY() - TO_DATE(L157)), 0), ""-"")"),"-")</x:f>
      </x:c>
      <x:c r="O157" s="2" t="e">
        <x:f>IFERROR(__xludf.DUMMYFUNCTION("IF(ISDATE(TO_DATE(M157)), MAX(0, ROUND(TODAY() - TO_DATE(M157)), 0), ""-"")"),490.0)</x:f>
      </x:c>
      <x:c r="P157" s="6">
        <x:v>6092.05</x:v>
      </x:c>
      <x:c r="Q157" s="6">
        <x:v>1.538224570964E8</x:v>
      </x:c>
      <x:c r="R157" s="7">
        <x:v>4172608.7258370686</x:v>
      </x:c>
      <x:c r="S157" s="7">
        <x:v>4166294.0</x:v>
      </x:c>
      <x:c r="T157" s="7">
        <x:v>261391.77</x:v>
      </x:c>
      <x:c r="U157" s="7">
        <x:v>1327537.2799999998</x:v>
      </x:c>
      <x:c r="V157" s="8" t="n">
        <x:f t="array" ref="V157">-0.4%</x:f>
        <x:v>-0.004</x:v>
      </x:c>
      <x:c r="W157" s="8" t="n">
        <x:f t="array" ref="W157">0.68%</x:f>
        <x:v>0.0068000000000000005</x:v>
      </x:c>
      <x:c r="X157" s="8" t="n">
        <x:f t="array" ref="X157">-5.07%</x:f>
        <x:v>-0.0507</x:v>
      </x:c>
      <x:c r="Y157" s="8" t="n">
        <x:f t="array" ref="Y157">-5.05%</x:f>
        <x:v>-0.050499999999999996</x:v>
      </x:c>
      <x:c r="Z157" s="9" t="s">
        <x:v>342</x:v>
      </x:c>
      <x:c r="AA157" s="57" t="str">
        <x:v>Snapshot only — run GitHub workflow</x:v>
      </x:c>
      <x:c r="AB157" s="58" t="n">
        <x:f>IFERROR(H157/G157,"")</x:f>
        <x:v>0.8815017605412149</x:v>
      </x:c>
      <x:c r="AC157" s="57" t="str"/>
      <x:c r="AD157" s="57" t="str"/>
      <x:c r="AE157" s="57" t="str"/>
      <x:c r="AF157" s="57" t="str"/>
      <x:c r="AG157" s="2"/>
      <x:c r="AH157" s="2"/>
    </x:row>
    <x:row r="158" ht="15.75" customHeight="1">
      <x:c r="A158" s="2" t="s">
        <x:v>343</x:v>
      </x:c>
      <x:c r="B158" s="2" t="s">
        <x:v>344</x:v>
      </x:c>
      <x:c r="C158" s="3" t="e">
        <x:f>HYPERLINK("https://scan.mypinata.cloud/ipfs/bafybeih3olry3is4e4lzm7rus5l3h6zrphcal5a7ayfkhzm5oivjro2cp4/#/address/0x68E87Fa19984f45C68945BBd4c81bF3481750429", "0x68E87Fa19984f45C68945BBd4c81bF3481750429")</x:f>
      </x:c>
      <x:c r="D158" s="4" t="str">
        <x:f t="shared" si="10"/>
        <x:v>Atropa Dev</x:v>
      </x:c>
      <x:c r="E158" s="4" t="e">
        <x:f>HYPERLINK("https://scan.mypinata.cloud/ipfs/bafybeih3olry3is4e4lzm7rus5l3h6zrphcal5a7ayfkhzm5oivjro2cp4/#/block/18782375", "18782375")</x:f>
      </x:c>
      <x:c r="F158" s="4" t="e">
        <x:f>HYPERLINK("https://scan.mypinata.cloud/ipfs/bafybeih3olry3is4e4lzm7rus5l3h6zrphcal5a7ayfkhzm5oivjro2cp4/#/tx/0xf1846846e0cf0ddd075fd5aea58063defde43b471d352445dd2b4bf54b659df4", "2023-11-08 19:02:45")</x:f>
      </x:c>
      <x:c r="G158" s="5">
        <x:v>1.0</x:v>
      </x:c>
      <x:c r="H158" s="5">
        <x:v>32.0</x:v>
      </x:c>
      <x:c r="I158" s="5">
        <x:v>32.0</x:v>
      </x:c>
      <x:c r="J158" s="5">
        <x:v>31.0</x:v>
      </x:c>
      <x:c r="K158" s="5">
        <x:v>0.0</x:v>
      </x:c>
      <x:c r="L158" s="4" t="e">
        <x:f>HYPERLINK("https://scan.mypinata.cloud/ipfs/bafybeih3olry3is4e4lzm7rus5l3h6zrphcal5a7ayfkhzm5oivjro2cp4/#/tx/0x46db00ff3722592feb1ff3ec1cb0b1c5f6f65ad6c908204e6e28c21b2b8a879d", "2023-11-08 22:33:15")</x:f>
      </x:c>
      <x:c r="M158" s="2" t="s">
        <x:v>28</x:v>
      </x:c>
      <x:c r="N158" s="2" t="e">
        <x:f>IFERROR(__xludf.DUMMYFUNCTION("IF(ISDATE(TO_DATE(L158)), MAX(0, ROUND(TODAY() - TO_DATE(L158)), 0), ""-"")"),967.0)</x:f>
      </x:c>
      <x:c r="O158" s="2" t="e">
        <x:f>IFERROR(__xludf.DUMMYFUNCTION("IF(ISDATE(TO_DATE(M158)), MAX(0, ROUND(TODAY() - TO_DATE(M158)), 0), ""-"")"),"-")</x:f>
      </x:c>
      <x:c r="P158" s="6">
        <x:v>293.78</x:v>
      </x:c>
      <x:c r="Q158" s="6">
        <x:v>7417873.9152</x:v>
      </x:c>
      <x:c r="R158" s="7">
        <x:v>9400.96</x:v>
      </x:c>
      <x:c r="S158" s="7">
        <x:v>9401.0</x:v>
      </x:c>
      <x:c r="T158" s="7">
        <x:v>31.26</x:v>
      </x:c>
      <x:c r="U158" s="7">
        <x:v>214.54</x:v>
      </x:c>
      <x:c r="V158" s="8" t="n">
        <x:f t="shared" ref="V158:W158" si="11">-2.18%</x:f>
        <x:v>-0.0218</x:v>
      </x:c>
      <x:c r="W158" s="8" t="str">
        <x:f t="shared" si="11"/>
        <x:v>-2.18%</x:v>
      </x:c>
      <x:c r="X158" s="8" t="n">
        <x:f t="array" ref="X158">-5.01%</x:f>
        <x:v>-0.0501</x:v>
      </x:c>
      <x:c r="Y158" s="8" t="n">
        <x:f t="array" ref="Y158">1.49%</x:f>
        <x:v>0.0149</x:v>
      </x:c>
      <x:c r="Z158" s="9" t="s">
        <x:v>321</x:v>
      </x:c>
      <x:c r="AA158" s="57" t="str">
        <x:v>Snapshot only — run GitHub workflow</x:v>
      </x:c>
      <x:c r="AB158" s="58" t="n">
        <x:f>IFERROR(H158/G158,"")</x:f>
        <x:v>32</x:v>
      </x:c>
      <x:c r="AC158" s="57" t="str"/>
      <x:c r="AD158" s="57" t="str"/>
      <x:c r="AE158" s="57" t="str"/>
      <x:c r="AF158" s="57" t="str"/>
      <x:c r="AG158" s="2"/>
      <x:c r="AH158" s="2"/>
    </x:row>
    <x:row r="159" ht="15.75" customHeight="1">
      <x:c r="A159" s="2" t="s">
        <x:v>345</x:v>
      </x:c>
      <x:c r="B159" s="2" t="s">
        <x:v>346</x:v>
      </x:c>
      <x:c r="C159" s="3" t="e">
        <x:f>HYPERLINK("https://scan.mypinata.cloud/ipfs/bafybeih3olry3is4e4lzm7rus5l3h6zrphcal5a7ayfkhzm5oivjro2cp4/#/address/0x36824A24780cCf79e973D355cD16A12279cF8700", "0x36824A24780cCf79e973D355cD16A12279cF8700")</x:f>
      </x:c>
      <x:c r="D159" s="4" t="str">
        <x:f t="shared" si="10"/>
        <x:v>Atropa Dev</x:v>
      </x:c>
      <x:c r="E159" s="4" t="e">
        <x:f>HYPERLINK("https://scan.mypinata.cloud/ipfs/bafybeih3olry3is4e4lzm7rus5l3h6zrphcal5a7ayfkhzm5oivjro2cp4/#/block/18807302", "18807302")</x:f>
      </x:c>
      <x:c r="F159" s="4" t="e">
        <x:f>HYPERLINK("https://scan.mypinata.cloud/ipfs/bafybeih3olry3is4e4lzm7rus5l3h6zrphcal5a7ayfkhzm5oivjro2cp4/#/tx/0x3a7ba78c6157da06bf80855986a77bb4e68565d60e60fc3768cac3ab46495fc9", "2023-11-11 17:07:35")</x:f>
      </x:c>
      <x:c r="G159" s="5">
        <x:v>666.0</x:v>
      </x:c>
      <x:c r="H159" s="5">
        <x:v>666.0</x:v>
      </x:c>
      <x:c r="I159" s="5">
        <x:v>666.0</x:v>
      </x:c>
      <x:c r="J159" s="5">
        <x:v>0.0</x:v>
      </x:c>
      <x:c r="K159" s="5">
        <x:v>0.0</x:v>
      </x:c>
      <x:c r="L159" s="2" t="s">
        <x:v>28</x:v>
      </x:c>
      <x:c r="M159" s="2" t="s">
        <x:v>28</x:v>
      </x:c>
      <x:c r="N159" s="2" t="e">
        <x:f>IFERROR(__xludf.DUMMYFUNCTION("IF(ISDATE(TO_DATE(L159)), MAX(0, ROUND(TODAY() - TO_DATE(L159)), 0), ""-"")"),"-")</x:f>
      </x:c>
      <x:c r="O159" s="2" t="e">
        <x:f>IFERROR(__xludf.DUMMYFUNCTION("IF(ISDATE(TO_DATE(M159)), MAX(0, ROUND(TODAY() - TO_DATE(M159)), 0), ""-"")"),"-")</x:f>
      </x:c>
      <x:c r="P159" s="6">
        <x:v>5.49</x:v>
      </x:c>
      <x:c r="Q159" s="6">
        <x:v>136820.8906</x:v>
      </x:c>
      <x:c r="R159" s="7">
        <x:v>3656.34</x:v>
      </x:c>
      <x:c r="S159" s="7">
        <x:v>3659.0</x:v>
      </x:c>
      <x:c r="T159" s="7">
        <x:v>5.43</x:v>
      </x:c>
      <x:c r="U159" s="7">
        <x:v>438.93</x:v>
      </x:c>
      <x:c r="V159" s="2" t="s">
        <x:v>28</x:v>
      </x:c>
      <x:c r="W159" s="2" t="s">
        <x:v>28</x:v>
      </x:c>
      <x:c r="X159" s="2" t="s">
        <x:v>28</x:v>
      </x:c>
      <x:c r="Y159" s="2" t="s">
        <x:v>28</x:v>
      </x:c>
      <x:c r="Z159" s="9" t="s">
        <x:v>347</x:v>
      </x:c>
      <x:c r="AA159" s="57" t="str">
        <x:v>Snapshot only — run GitHub workflow</x:v>
      </x:c>
      <x:c r="AB159" s="58" t="n">
        <x:f>IFERROR(H159/G159,"")</x:f>
        <x:v>1</x:v>
      </x:c>
      <x:c r="AC159" s="57" t="str"/>
      <x:c r="AD159" s="57" t="str"/>
      <x:c r="AE159" s="57" t="str"/>
      <x:c r="AF159" s="57" t="str"/>
      <x:c r="AG159" s="2"/>
      <x:c r="AH159" s="2"/>
    </x:row>
    <x:row r="160" ht="15.75" customHeight="1">
      <x:c r="A160" s="12" t="s">
        <x:v>348</x:v>
      </x:c>
      <x:c r="B160" s="12" t="s">
        <x:v>349</x:v>
      </x:c>
      <x:c r="C160" s="13" t="e">
        <x:f>HYPERLINK("https://scan.mypinata.cloud/ipfs/bafybeih3olry3is4e4lzm7rus5l3h6zrphcal5a7ayfkhzm5oivjro2cp4/#/address/0xf1026C1a67A5243903fFd11cD4e2F7E2a0571ac0", "0xf1026C1a67A5243903fFd11cD4e2F7E2a0571ac0")</x:f>
      </x:c>
      <x:c r="D160" s="14" t="str">
        <x:f t="shared" si="10"/>
        <x:v>Atropa Dev</x:v>
      </x:c>
      <x:c r="E160" s="14" t="e">
        <x:f>HYPERLINK("https://scan.mypinata.cloud/ipfs/bafybeih3olry3is4e4lzm7rus5l3h6zrphcal5a7ayfkhzm5oivjro2cp4/#/block/18899889", "18899889")</x:f>
      </x:c>
      <x:c r="F160" s="14" t="e">
        <x:f>HYPERLINK("https://scan.mypinata.cloud/ipfs/bafybeih3olry3is4e4lzm7rus5l3h6zrphcal5a7ayfkhzm5oivjro2cp4/#/tx/0x2b882ece108165b0fa6663cd8107f2bd3aeaeaa3ed5b8556790448f65316c79d", "2023-11-22 13:05:05")</x:f>
      </x:c>
      <x:c r="G160" s="15">
        <x:v>666.0</x:v>
      </x:c>
      <x:c r="H160" s="15">
        <x:v>666.0</x:v>
      </x:c>
      <x:c r="I160" s="15">
        <x:v>666.0</x:v>
      </x:c>
      <x:c r="J160" s="15">
        <x:v>0.0</x:v>
      </x:c>
      <x:c r="K160" s="15">
        <x:v>0.0</x:v>
      </x:c>
      <x:c r="L160" s="16" t="s">
        <x:v>28</x:v>
      </x:c>
      <x:c r="M160" s="16" t="s">
        <x:v>28</x:v>
      </x:c>
      <x:c r="N160" s="16" t="e">
        <x:f>IFERROR(__xludf.DUMMYFUNCTION("IF(ISDATE(TO_DATE(L160)), MAX(0, ROUND(TODAY() - TO_DATE(L160)), 0), ""-"")"),"-")</x:f>
      </x:c>
      <x:c r="O160" s="16" t="e">
        <x:f>IFERROR(__xludf.DUMMYFUNCTION("IF(ISDATE(TO_DATE(M160)), MAX(0, ROUND(TODAY() - TO_DATE(M160)), 0), ""-"")"),"-")</x:f>
      </x:c>
      <x:c r="P160" s="16" t="s">
        <x:v>28</x:v>
      </x:c>
      <x:c r="Q160" s="16" t="s">
        <x:v>28</x:v>
      </x:c>
      <x:c r="R160" s="16" t="s">
        <x:v>28</x:v>
      </x:c>
      <x:c r="S160" s="16" t="s">
        <x:v>28</x:v>
      </x:c>
      <x:c r="T160" s="16" t="s">
        <x:v>28</x:v>
      </x:c>
      <x:c r="U160" s="16" t="s">
        <x:v>28</x:v>
      </x:c>
      <x:c r="V160" s="16" t="s">
        <x:v>28</x:v>
      </x:c>
      <x:c r="W160" s="16" t="s">
        <x:v>28</x:v>
      </x:c>
      <x:c r="X160" s="16" t="s">
        <x:v>28</x:v>
      </x:c>
      <x:c r="Y160" s="16" t="s">
        <x:v>28</x:v>
      </x:c>
      <x:c r="Z160" s="19" t="s">
        <x:v>350</x:v>
      </x:c>
      <x:c r="AA160" s="37" t="str">
        <x:v>Snapshot only — run GitHub workflow</x:v>
      </x:c>
      <x:c r="AB160" s="59" t="n">
        <x:f>IFERROR(H160/G160,"")</x:f>
        <x:v>1</x:v>
      </x:c>
      <x:c r="AC160" s="37" t="str"/>
      <x:c r="AD160" s="37" t="str"/>
      <x:c r="AE160" s="37" t="str"/>
      <x:c r="AF160" s="37" t="str"/>
      <x:c r="AG160" s="16"/>
      <x:c r="AH160" s="16"/>
    </x:row>
    <x:row r="161" ht="15.75" customHeight="1">
      <x:c r="A161" s="2" t="s">
        <x:v>351</x:v>
      </x:c>
      <x:c r="B161" s="2" t="s">
        <x:v>352</x:v>
      </x:c>
      <x:c r="C161" s="3" t="e">
        <x:f>HYPERLINK("https://scan.mypinata.cloud/ipfs/bafybeih3olry3is4e4lzm7rus5l3h6zrphcal5a7ayfkhzm5oivjro2cp4/#/address/0x27a4f4db98798098748712f2317774F98cEc7ED5", "0x27a4f4db98798098748712f2317774F98cEc7ED5")</x:f>
      </x:c>
      <x:c r="D161" s="4" t="str">
        <x:f t="shared" si="10"/>
        <x:v>Atropa Dev</x:v>
      </x:c>
      <x:c r="E161" s="4" t="e">
        <x:f>HYPERLINK("https://scan.mypinata.cloud/ipfs/bafybeih3olry3is4e4lzm7rus5l3h6zrphcal5a7ayfkhzm5oivjro2cp4/#/block/19052689", "19052689")</x:f>
      </x:c>
      <x:c r="F161" s="4" t="e">
        <x:f>HYPERLINK("https://scan.mypinata.cloud/ipfs/bafybeih3olry3is4e4lzm7rus5l3h6zrphcal5a7ayfkhzm5oivjro2cp4/#/tx/0xa4d47ddb59a97031785d48c382f524d87428f85d6c58b6c89d08a1b758c5d8af", "2023-12-10 13:59:45")</x:f>
      </x:c>
      <x:c r="G161" s="5">
        <x:v>666.0</x:v>
      </x:c>
      <x:c r="H161" s="5">
        <x:v>666.0</x:v>
      </x:c>
      <x:c r="I161" s="5">
        <x:v>666.0</x:v>
      </x:c>
      <x:c r="J161" s="5">
        <x:v>0.0</x:v>
      </x:c>
      <x:c r="K161" s="5">
        <x:v>0.0</x:v>
      </x:c>
      <x:c r="L161" s="2" t="s">
        <x:v>28</x:v>
      </x:c>
      <x:c r="M161" s="2" t="s">
        <x:v>28</x:v>
      </x:c>
      <x:c r="N161" s="2" t="e">
        <x:f>IFERROR(__xludf.DUMMYFUNCTION("IF(ISDATE(TO_DATE(L161)), MAX(0, ROUND(TODAY() - TO_DATE(L161)), 0), ""-"")"),"-")</x:f>
      </x:c>
      <x:c r="O161" s="2" t="e">
        <x:f>IFERROR(__xludf.DUMMYFUNCTION("IF(ISDATE(TO_DATE(M161)), MAX(0, ROUND(TODAY() - TO_DATE(M161)), 0), ""-"")"),"-")</x:f>
      </x:c>
      <x:c r="P161" s="6">
        <x:v>3.98</x:v>
      </x:c>
      <x:c r="Q161" s="6">
        <x:v>101104.8589</x:v>
      </x:c>
      <x:c r="R161" s="7">
        <x:v>2650.68</x:v>
      </x:c>
      <x:c r="S161" s="7">
        <x:v>2652.0</x:v>
      </x:c>
      <x:c r="T161" s="7">
        <x:v>5.5</x:v>
      </x:c>
      <x:c r="U161" s="7">
        <x:v>48.15</x:v>
      </x:c>
      <x:c r="V161" s="2" t="s">
        <x:v>28</x:v>
      </x:c>
      <x:c r="W161" s="2" t="s">
        <x:v>28</x:v>
      </x:c>
      <x:c r="X161" s="2" t="s">
        <x:v>28</x:v>
      </x:c>
      <x:c r="Y161" s="2" t="s">
        <x:v>28</x:v>
      </x:c>
      <x:c r="Z161" s="9" t="s">
        <x:v>353</x:v>
      </x:c>
      <x:c r="AA161" s="57" t="str">
        <x:v>Snapshot only — run GitHub workflow</x:v>
      </x:c>
      <x:c r="AB161" s="58" t="n">
        <x:f>IFERROR(H161/G161,"")</x:f>
        <x:v>1</x:v>
      </x:c>
      <x:c r="AC161" s="57" t="str"/>
      <x:c r="AD161" s="57" t="str"/>
      <x:c r="AE161" s="57" t="str"/>
      <x:c r="AF161" s="57" t="str"/>
      <x:c r="AG161" s="2"/>
      <x:c r="AH161" s="2"/>
    </x:row>
    <x:row r="162" ht="15.75" customHeight="1">
      <x:c r="A162" s="2" t="s">
        <x:v>354</x:v>
      </x:c>
      <x:c r="B162" s="2" t="s">
        <x:v>355</x:v>
      </x:c>
      <x:c r="C162" s="3" t="e">
        <x:f>HYPERLINK("https://scan.mypinata.cloud/ipfs/bafybeih3olry3is4e4lzm7rus5l3h6zrphcal5a7ayfkhzm5oivjro2cp4/#/address/0xE3FADEbFfa0E577BD36CBEA1f90537E5E42f881b", "0xE3FADEbFfa0E577BD36CBEA1f90537E5E42f881b")</x:f>
      </x:c>
      <x:c r="D162" s="4" t="str">
        <x:f t="shared" si="10"/>
        <x:v>Atropa Dev</x:v>
      </x:c>
      <x:c r="E162" s="4" t="e">
        <x:f>HYPERLINK("https://scan.mypinata.cloud/ipfs/bafybeih3olry3is4e4lzm7rus5l3h6zrphcal5a7ayfkhzm5oivjro2cp4/#/block/19314796", "19314796")</x:f>
      </x:c>
      <x:c r="F162" s="4" t="e">
        <x:f>HYPERLINK("https://scan.mypinata.cloud/ipfs/bafybeih3olry3is4e4lzm7rus5l3h6zrphcal5a7ayfkhzm5oivjro2cp4/#/tx/0x3a43ea7510bcd72ad33ae7b55ddc5e439dba296e950a1c0aa157ecfcbfc9dc40", "2024-01-10 09:38:25")</x:f>
      </x:c>
      <x:c r="G162" s="5">
        <x:v>666.0</x:v>
      </x:c>
      <x:c r="H162" s="5">
        <x:v>666.0</x:v>
      </x:c>
      <x:c r="I162" s="5">
        <x:v>666.0</x:v>
      </x:c>
      <x:c r="J162" s="5">
        <x:v>0.0</x:v>
      </x:c>
      <x:c r="K162" s="5">
        <x:v>0.0</x:v>
      </x:c>
      <x:c r="L162" s="2" t="s">
        <x:v>28</x:v>
      </x:c>
      <x:c r="M162" s="2" t="s">
        <x:v>28</x:v>
      </x:c>
      <x:c r="N162" s="2" t="e">
        <x:f>IFERROR(__xludf.DUMMYFUNCTION("IF(ISDATE(TO_DATE(L162)), MAX(0, ROUND(TODAY() - TO_DATE(L162)), 0), ""-"")"),"-")</x:f>
      </x:c>
      <x:c r="O162" s="2" t="e">
        <x:f>IFERROR(__xludf.DUMMYFUNCTION("IF(ISDATE(TO_DATE(M162)), MAX(0, ROUND(TODAY() - TO_DATE(M162)), 0), ""-"")"),"-")</x:f>
      </x:c>
      <x:c r="P162" s="6">
        <x:v>26.42</x:v>
      </x:c>
      <x:c r="Q162" s="6">
        <x:v>667502.008471</x:v>
      </x:c>
      <x:c r="R162" s="7">
        <x:v>17595.72</x:v>
      </x:c>
      <x:c r="S162" s="7">
        <x:v>17598.0</x:v>
      </x:c>
      <x:c r="T162" s="7">
        <x:v>102.42</x:v>
      </x:c>
      <x:c r="U162" s="7">
        <x:v>11904.730000000001</x:v>
      </x:c>
      <x:c r="V162" s="2" t="s">
        <x:v>28</x:v>
      </x:c>
      <x:c r="W162" s="2" t="s">
        <x:v>28</x:v>
      </x:c>
      <x:c r="X162" s="2" t="s">
        <x:v>28</x:v>
      </x:c>
      <x:c r="Y162" s="2" t="s">
        <x:v>28</x:v>
      </x:c>
      <x:c r="Z162" s="9" t="s">
        <x:v>353</x:v>
      </x:c>
      <x:c r="AA162" s="57" t="str">
        <x:v>Snapshot only — run GitHub workflow</x:v>
      </x:c>
      <x:c r="AB162" s="58" t="n">
        <x:f>IFERROR(H162/G162,"")</x:f>
        <x:v>1</x:v>
      </x:c>
      <x:c r="AC162" s="57" t="str"/>
      <x:c r="AD162" s="57" t="str"/>
      <x:c r="AE162" s="57" t="str"/>
      <x:c r="AF162" s="57" t="str"/>
      <x:c r="AG162" s="2"/>
      <x:c r="AH162" s="2"/>
    </x:row>
    <x:row r="163" ht="15.75" customHeight="1">
      <x:c r="A163" s="12" t="s">
        <x:v>356</x:v>
      </x:c>
      <x:c r="B163" s="12" t="s">
        <x:v>357</x:v>
      </x:c>
      <x:c r="C163" s="13" t="e">
        <x:f>HYPERLINK("https://scan.mypinata.cloud/ipfs/bafybeih3olry3is4e4lzm7rus5l3h6zrphcal5a7ayfkhzm5oivjro2cp4/#/address/0x9C3D2c93993F196AAC232ede26321B95F5702545", "0x9C3D2c93993F196AAC232ede26321B95F5702545")</x:f>
      </x:c>
      <x:c r="D163" s="14" t="str">
        <x:f t="shared" si="10"/>
        <x:v>Atropa Dev</x:v>
      </x:c>
      <x:c r="E163" s="14" t="e">
        <x:f>HYPERLINK("https://scan.mypinata.cloud/ipfs/bafybeih3olry3is4e4lzm7rus5l3h6zrphcal5a7ayfkhzm5oivjro2cp4/#/block/19358164", "19358164")</x:f>
      </x:c>
      <x:c r="F163" s="14" t="e">
        <x:f>HYPERLINK("https://scan.mypinata.cloud/ipfs/bafybeih3olry3is4e4lzm7rus5l3h6zrphcal5a7ayfkhzm5oivjro2cp4/#/tx/0xe0dc4308ffdc90e0ac477bb71e753b88f7cac0c82e73f1d1f426bea23ba53ceb", "2024-01-15 11:05:55")</x:f>
      </x:c>
      <x:c r="G163" s="15">
        <x:v>666.0</x:v>
      </x:c>
      <x:c r="H163" s="15">
        <x:v>666.0</x:v>
      </x:c>
      <x:c r="I163" s="15">
        <x:v>666.0</x:v>
      </x:c>
      <x:c r="J163" s="15">
        <x:v>0.0</x:v>
      </x:c>
      <x:c r="K163" s="15">
        <x:v>0.0</x:v>
      </x:c>
      <x:c r="L163" s="16" t="s">
        <x:v>28</x:v>
      </x:c>
      <x:c r="M163" s="16" t="s">
        <x:v>28</x:v>
      </x:c>
      <x:c r="N163" s="16" t="e">
        <x:f>IFERROR(__xludf.DUMMYFUNCTION("IF(ISDATE(TO_DATE(L163)), MAX(0, ROUND(TODAY() - TO_DATE(L163)), 0), ""-"")"),"-")</x:f>
      </x:c>
      <x:c r="O163" s="16" t="e">
        <x:f>IFERROR(__xludf.DUMMYFUNCTION("IF(ISDATE(TO_DATE(M163)), MAX(0, ROUND(TODAY() - TO_DATE(M163)), 0), ""-"")"),"-")</x:f>
      </x:c>
      <x:c r="P163" s="17">
        <x:v>9.16</x:v>
      </x:c>
      <x:c r="Q163" s="17">
        <x:v>226756.9369</x:v>
      </x:c>
      <x:c r="R163" s="18">
        <x:v>6100.56</x:v>
      </x:c>
      <x:c r="S163" s="18">
        <x:v>6103.0</x:v>
      </x:c>
      <x:c r="T163" s="18">
        <x:v>4.08</x:v>
      </x:c>
      <x:c r="U163" s="18">
        <x:v>193.84</x:v>
      </x:c>
      <x:c r="V163" s="16" t="s">
        <x:v>28</x:v>
      </x:c>
      <x:c r="W163" s="16" t="s">
        <x:v>28</x:v>
      </x:c>
      <x:c r="X163" s="16" t="s">
        <x:v>28</x:v>
      </x:c>
      <x:c r="Y163" s="16" t="s">
        <x:v>28</x:v>
      </x:c>
      <x:c r="Z163" s="19" t="s">
        <x:v>347</x:v>
      </x:c>
      <x:c r="AA163" s="37" t="str">
        <x:v>Snapshot only — run GitHub workflow</x:v>
      </x:c>
      <x:c r="AB163" s="59" t="n">
        <x:f>IFERROR(H163/G163,"")</x:f>
        <x:v>1</x:v>
      </x:c>
      <x:c r="AC163" s="37" t="str"/>
      <x:c r="AD163" s="37" t="str"/>
      <x:c r="AE163" s="37" t="str"/>
      <x:c r="AF163" s="37" t="str"/>
      <x:c r="AG163" s="16"/>
      <x:c r="AH163" s="16"/>
    </x:row>
    <x:row r="164" ht="15.75" customHeight="1">
      <x:c r="A164" s="2" t="s">
        <x:v>358</x:v>
      </x:c>
      <x:c r="B164" s="2" t="s">
        <x:v>359</x:v>
      </x:c>
      <x:c r="C164" s="3" t="e">
        <x:f>HYPERLINK("https://scan.mypinata.cloud/ipfs/bafybeih3olry3is4e4lzm7rus5l3h6zrphcal5a7ayfkhzm5oivjro2cp4/#/address/0xF6E286FE1F22d9d0E2fE48b6d3B5506841F51Fc4", "0xF6E286FE1F22d9d0E2fE48b6d3B5506841F51Fc4")</x:f>
      </x:c>
      <x:c r="D164" s="4" t="str">
        <x:f t="shared" si="10"/>
        <x:v>Atropa Dev</x:v>
      </x:c>
      <x:c r="E164" s="4" t="e">
        <x:f>HYPERLINK("https://scan.mypinata.cloud/ipfs/bafybeih3olry3is4e4lzm7rus5l3h6zrphcal5a7ayfkhzm5oivjro2cp4/#/block/19367037", "19367037")</x:f>
      </x:c>
      <x:c r="F164" s="4" t="e">
        <x:f>HYPERLINK("https://scan.mypinata.cloud/ipfs/bafybeih3olry3is4e4lzm7rus5l3h6zrphcal5a7ayfkhzm5oivjro2cp4/#/tx/0xe1b9c26445f9ac7909acccb3fb18ef3c0230442757bf04f2a60d2701ddde3268", "2024-01-16 11:54:45")</x:f>
      </x:c>
      <x:c r="G164" s="5">
        <x:v>666.0</x:v>
      </x:c>
      <x:c r="H164" s="5">
        <x:v>666.0</x:v>
      </x:c>
      <x:c r="I164" s="5">
        <x:v>666.0</x:v>
      </x:c>
      <x:c r="J164" s="5">
        <x:v>0.0</x:v>
      </x:c>
      <x:c r="K164" s="5">
        <x:v>0.0</x:v>
      </x:c>
      <x:c r="L164" s="2" t="s">
        <x:v>28</x:v>
      </x:c>
      <x:c r="M164" s="2" t="s">
        <x:v>28</x:v>
      </x:c>
      <x:c r="N164" s="2" t="e">
        <x:f>IFERROR(__xludf.DUMMYFUNCTION("IF(ISDATE(TO_DATE(L164)), MAX(0, ROUND(TODAY() - TO_DATE(L164)), 0), ""-"")"),"-")</x:f>
      </x:c>
      <x:c r="O164" s="2" t="e">
        <x:f>IFERROR(__xludf.DUMMYFUNCTION("IF(ISDATE(TO_DATE(M164)), MAX(0, ROUND(TODAY() - TO_DATE(M164)), 0), ""-"")"),"-")</x:f>
      </x:c>
      <x:c r="P164" s="2" t="s">
        <x:v>28</x:v>
      </x:c>
      <x:c r="Q164" s="2" t="s">
        <x:v>28</x:v>
      </x:c>
      <x:c r="R164" s="2" t="s">
        <x:v>28</x:v>
      </x:c>
      <x:c r="S164" s="2" t="s">
        <x:v>28</x:v>
      </x:c>
      <x:c r="T164" s="2" t="s">
        <x:v>28</x:v>
      </x:c>
      <x:c r="U164" s="2" t="s">
        <x:v>28</x:v>
      </x:c>
      <x:c r="V164" s="2" t="s">
        <x:v>28</x:v>
      </x:c>
      <x:c r="W164" s="2" t="s">
        <x:v>28</x:v>
      </x:c>
      <x:c r="X164" s="2" t="s">
        <x:v>28</x:v>
      </x:c>
      <x:c r="Y164" s="2" t="s">
        <x:v>28</x:v>
      </x:c>
      <x:c r="Z164" s="9" t="s">
        <x:v>360</x:v>
      </x:c>
      <x:c r="AA164" s="57" t="str">
        <x:v>Snapshot only — run GitHub workflow</x:v>
      </x:c>
      <x:c r="AB164" s="58" t="n">
        <x:f>IFERROR(H164/G164,"")</x:f>
        <x:v>1</x:v>
      </x:c>
      <x:c r="AC164" s="57" t="str"/>
      <x:c r="AD164" s="57" t="str"/>
      <x:c r="AE164" s="57" t="str"/>
      <x:c r="AF164" s="57" t="str"/>
      <x:c r="AG164" s="2"/>
      <x:c r="AH164" s="2"/>
    </x:row>
    <x:row r="165" ht="15.75" customHeight="1">
      <x:c r="A165" s="2" t="s">
        <x:v>361</x:v>
      </x:c>
      <x:c r="B165" s="2" t="s">
        <x:v>362</x:v>
      </x:c>
      <x:c r="C165" s="3" t="e">
        <x:f>HYPERLINK("https://scan.mypinata.cloud/ipfs/bafybeih3olry3is4e4lzm7rus5l3h6zrphcal5a7ayfkhzm5oivjro2cp4/#/address/0x2EAC5FF91B1432827701e52cBBdAD63FA0C32D0d", "0x2EAC5FF91B1432827701e52cBBdAD63FA0C32D0d")</x:f>
      </x:c>
      <x:c r="D165" s="4" t="str">
        <x:f t="shared" si="10"/>
        <x:v>Atropa Dev</x:v>
      </x:c>
      <x:c r="E165" s="4" t="e">
        <x:f>HYPERLINK("https://scan.mypinata.cloud/ipfs/bafybeih3olry3is4e4lzm7rus5l3h6zrphcal5a7ayfkhzm5oivjro2cp4/#/block/19386159", "19386159")</x:f>
      </x:c>
      <x:c r="F165" s="4" t="e">
        <x:f>HYPERLINK("https://scan.mypinata.cloud/ipfs/bafybeih3olry3is4e4lzm7rus5l3h6zrphcal5a7ayfkhzm5oivjro2cp4/#/tx/0x21e0e118a6a546b80c9d47488da72a34274492a4d3ed154df28780be46d8a4e1", "2024-01-18 18:09:15")</x:f>
      </x:c>
      <x:c r="G165" s="5">
        <x:v>666.0</x:v>
      </x:c>
      <x:c r="H165" s="5">
        <x:v>666.0</x:v>
      </x:c>
      <x:c r="I165" s="5">
        <x:v>666.0</x:v>
      </x:c>
      <x:c r="J165" s="5">
        <x:v>0.0</x:v>
      </x:c>
      <x:c r="K165" s="5">
        <x:v>0.0</x:v>
      </x:c>
      <x:c r="L165" s="2" t="s">
        <x:v>28</x:v>
      </x:c>
      <x:c r="M165" s="2" t="s">
        <x:v>28</x:v>
      </x:c>
      <x:c r="N165" s="2" t="e">
        <x:f>IFERROR(__xludf.DUMMYFUNCTION("IF(ISDATE(TO_DATE(L165)), MAX(0, ROUND(TODAY() - TO_DATE(L165)), 0), ""-"")"),"-")</x:f>
      </x:c>
      <x:c r="O165" s="2" t="e">
        <x:f>IFERROR(__xludf.DUMMYFUNCTION("IF(ISDATE(TO_DATE(M165)), MAX(0, ROUND(TODAY() - TO_DATE(M165)), 0), ""-"")"),"-")</x:f>
      </x:c>
      <x:c r="P165" s="6">
        <x:v>14.25</x:v>
      </x:c>
      <x:c r="Q165" s="6">
        <x:v>360114.02814</x:v>
      </x:c>
      <x:c r="R165" s="7">
        <x:v>9490.5</x:v>
      </x:c>
      <x:c r="S165" s="7">
        <x:v>9494.0</x:v>
      </x:c>
      <x:c r="T165" s="7">
        <x:v>120.64999999999999</x:v>
      </x:c>
      <x:c r="U165" s="7">
        <x:v>514.9399999999999</x:v>
      </x:c>
      <x:c r="V165" s="2" t="s">
        <x:v>28</x:v>
      </x:c>
      <x:c r="W165" s="2" t="s">
        <x:v>28</x:v>
      </x:c>
      <x:c r="X165" s="2" t="s">
        <x:v>28</x:v>
      </x:c>
      <x:c r="Y165" s="2" t="s">
        <x:v>28</x:v>
      </x:c>
      <x:c r="Z165" s="9" t="s">
        <x:v>353</x:v>
      </x:c>
      <x:c r="AA165" s="57" t="str">
        <x:v>Snapshot only — run GitHub workflow</x:v>
      </x:c>
      <x:c r="AB165" s="58" t="n">
        <x:f>IFERROR(H165/G165,"")</x:f>
        <x:v>1</x:v>
      </x:c>
      <x:c r="AC165" s="57" t="str"/>
      <x:c r="AD165" s="57" t="str"/>
      <x:c r="AE165" s="57" t="str"/>
      <x:c r="AF165" s="57" t="str"/>
      <x:c r="AG165" s="2"/>
      <x:c r="AH165" s="2"/>
    </x:row>
    <x:row r="166" ht="15.75" customHeight="1">
      <x:c r="A166" s="2" t="s">
        <x:v>363</x:v>
      </x:c>
      <x:c r="B166" s="2" t="s">
        <x:v>364</x:v>
      </x:c>
      <x:c r="C166" s="3" t="e">
        <x:f>HYPERLINK("https://scan.mypinata.cloud/ipfs/bafybeih3olry3is4e4lzm7rus5l3h6zrphcal5a7ayfkhzm5oivjro2cp4/#/address/0x7759A6D283192ef2BA082923d28Bec6eBfAf9D68", "0x7759A6D283192ef2BA082923d28Bec6eBfAf9D68")</x:f>
      </x:c>
      <x:c r="D166" s="4" t="str">
        <x:f t="shared" si="10"/>
        <x:v>Atropa Dev</x:v>
      </x:c>
      <x:c r="E166" s="4" t="e">
        <x:f>HYPERLINK("https://scan.mypinata.cloud/ipfs/bafybeih3olry3is4e4lzm7rus5l3h6zrphcal5a7ayfkhzm5oivjro2cp4/#/block/19401993", "19401993")</x:f>
      </x:c>
      <x:c r="F166" s="4" t="e">
        <x:f>HYPERLINK("https://scan.mypinata.cloud/ipfs/bafybeih3olry3is4e4lzm7rus5l3h6zrphcal5a7ayfkhzm5oivjro2cp4/#/tx/0x3b848312488a46c6c91a7ae9ecf61d6e13980059acb9974dff1611ce0872a6c4", "2024-01-20 14:37:55")</x:f>
      </x:c>
      <x:c r="G166" s="5">
        <x:v>666.0</x:v>
      </x:c>
      <x:c r="H166" s="5">
        <x:v>666.0</x:v>
      </x:c>
      <x:c r="I166" s="5">
        <x:v>666.0</x:v>
      </x:c>
      <x:c r="J166" s="5">
        <x:v>0.0</x:v>
      </x:c>
      <x:c r="K166" s="5">
        <x:v>0.0</x:v>
      </x:c>
      <x:c r="L166" s="2" t="s">
        <x:v>28</x:v>
      </x:c>
      <x:c r="M166" s="2" t="s">
        <x:v>28</x:v>
      </x:c>
      <x:c r="N166" s="2" t="e">
        <x:f>IFERROR(__xludf.DUMMYFUNCTION("IF(ISDATE(TO_DATE(L166)), MAX(0, ROUND(TODAY() - TO_DATE(L166)), 0), ""-"")"),"-")</x:f>
      </x:c>
      <x:c r="O166" s="2" t="e">
        <x:f>IFERROR(__xludf.DUMMYFUNCTION("IF(ISDATE(TO_DATE(M166)), MAX(0, ROUND(TODAY() - TO_DATE(M166)), 0), ""-"")"),"-")</x:f>
      </x:c>
      <x:c r="P166" s="6">
        <x:v>2437.068</x:v>
      </x:c>
      <x:c r="Q166" s="6">
        <x:v>6.15774714037E7</x:v>
      </x:c>
      <x:c r="R166" s="7">
        <x:v>1623087.288</x:v>
      </x:c>
      <x:c r="S166" s="7">
        <x:v>1623088.0</x:v>
      </x:c>
      <x:c r="T166" s="7">
        <x:v>161.02</x:v>
      </x:c>
      <x:c r="U166" s="7">
        <x:v>51646.56</x:v>
      </x:c>
      <x:c r="V166" s="2" t="s">
        <x:v>28</x:v>
      </x:c>
      <x:c r="W166" s="2" t="s">
        <x:v>28</x:v>
      </x:c>
      <x:c r="X166" s="2" t="s">
        <x:v>28</x:v>
      </x:c>
      <x:c r="Y166" s="2" t="s">
        <x:v>28</x:v>
      </x:c>
      <x:c r="Z166" s="9" t="s">
        <x:v>365</x:v>
      </x:c>
      <x:c r="AA166" s="57" t="str">
        <x:v>Snapshot only — run GitHub workflow</x:v>
      </x:c>
      <x:c r="AB166" s="58" t="n">
        <x:f>IFERROR(H166/G166,"")</x:f>
        <x:v>1</x:v>
      </x:c>
      <x:c r="AC166" s="57" t="str"/>
      <x:c r="AD166" s="57" t="str"/>
      <x:c r="AE166" s="57" t="str"/>
      <x:c r="AF166" s="57" t="str"/>
      <x:c r="AG166" s="2"/>
      <x:c r="AH166" s="2"/>
    </x:row>
    <x:row r="167" ht="15.75" customHeight="1">
      <x:c r="A167" s="2" t="s">
        <x:v>366</x:v>
      </x:c>
      <x:c r="B167" s="2" t="s">
        <x:v>367</x:v>
      </x:c>
      <x:c r="C167" s="3" t="e">
        <x:f>HYPERLINK("https://scan.mypinata.cloud/ipfs/bafybeih3olry3is4e4lzm7rus5l3h6zrphcal5a7ayfkhzm5oivjro2cp4/#/address/0x0d4dF81C334153D54A678ad0D25C617b69414e19", "0x0d4dF81C334153D54A678ad0D25C617b69414e19")</x:f>
      </x:c>
      <x:c r="D167" s="4" t="str">
        <x:f t="shared" si="10"/>
        <x:v>Atropa Dev</x:v>
      </x:c>
      <x:c r="E167" s="4" t="e">
        <x:f>HYPERLINK("https://scan.mypinata.cloud/ipfs/bafybeih3olry3is4e4lzm7rus5l3h6zrphcal5a7ayfkhzm5oivjro2cp4/#/block/19410926", "19410926")</x:f>
      </x:c>
      <x:c r="F167" s="4" t="e">
        <x:f>HYPERLINK("https://scan.mypinata.cloud/ipfs/bafybeih3olry3is4e4lzm7rus5l3h6zrphcal5a7ayfkhzm5oivjro2cp4/#/tx/0xae8ba60dac249a5c8193ae884f95fada8b56499234c00cea42866f1337123812", "2024-01-21 15:39:35")</x:f>
      </x:c>
      <x:c r="G167" s="5">
        <x:v>39.0</x:v>
      </x:c>
      <x:c r="H167" s="5">
        <x:v>39.0</x:v>
      </x:c>
      <x:c r="I167" s="5">
        <x:v>38.998666951179025</x:v>
      </x:c>
      <x:c r="J167" s="5">
        <x:v>0.0</x:v>
      </x:c>
      <x:c r="K167" s="5">
        <x:v>0.0013330488209753</x:v>
      </x:c>
      <x:c r="L167" s="2" t="s">
        <x:v>28</x:v>
      </x:c>
      <x:c r="M167" s="4" t="e">
        <x:f>HYPERLINK("https://scan.mypinata.cloud/ipfs/bafybeih3olry3is4e4lzm7rus5l3h6zrphcal5a7ayfkhzm5oivjro2cp4/#/tx/0x3905111855f3041364dd53f3439d21568369551052a399a77c28cd9ddd0749d8", "2024-02-01 00:46:25")</x:f>
      </x:c>
      <x:c r="N167" s="2" t="e">
        <x:f>IFERROR(__xludf.DUMMYFUNCTION("IF(ISDATE(TO_DATE(L167)), MAX(0, ROUND(TODAY() - TO_DATE(L167)), 0), ""-"")"),"-")</x:f>
      </x:c>
      <x:c r="O167" s="2" t="e">
        <x:f>IFERROR(__xludf.DUMMYFUNCTION("IF(ISDATE(TO_DATE(M167)), MAX(0, ROUND(TODAY() - TO_DATE(M167)), 0), ""-"")"),883.0)</x:f>
      </x:c>
      <x:c r="P167" s="6">
        <x:v>290.61</x:v>
      </x:c>
      <x:c r="Q167" s="6">
        <x:v>7284087.5036</x:v>
      </x:c>
      <x:c r="R167" s="7">
        <x:v>11333.79</x:v>
      </x:c>
      <x:c r="S167" s="7">
        <x:v>11333.0</x:v>
      </x:c>
      <x:c r="T167" s="7">
        <x:v>40.82000000000001</x:v>
      </x:c>
      <x:c r="U167" s="7">
        <x:v>1863.02</x:v>
      </x:c>
      <x:c r="V167" s="2" t="s">
        <x:v>28</x:v>
      </x:c>
      <x:c r="W167" s="2" t="s">
        <x:v>28</x:v>
      </x:c>
      <x:c r="X167" s="2" t="s">
        <x:v>28</x:v>
      </x:c>
      <x:c r="Y167" s="2" t="s">
        <x:v>28</x:v>
      </x:c>
      <x:c r="Z167" s="9" t="s">
        <x:v>365</x:v>
      </x:c>
      <x:c r="AA167" s="57" t="str">
        <x:v>Snapshot only — run GitHub workflow</x:v>
      </x:c>
      <x:c r="AB167" s="58" t="n">
        <x:f>IFERROR(H167/G167,"")</x:f>
        <x:v>1</x:v>
      </x:c>
      <x:c r="AC167" s="57" t="str"/>
      <x:c r="AD167" s="57" t="str"/>
      <x:c r="AE167" s="57" t="str"/>
      <x:c r="AF167" s="57" t="str"/>
      <x:c r="AG167" s="2"/>
      <x:c r="AH167" s="2"/>
    </x:row>
    <x:row r="168" ht="15.75" customHeight="1">
      <x:c r="A168" s="2" t="s">
        <x:v>368</x:v>
      </x:c>
      <x:c r="B168" s="2" t="s">
        <x:v>369</x:v>
      </x:c>
      <x:c r="C168" s="3" t="e">
        <x:f>HYPERLINK("https://scan.mypinata.cloud/ipfs/bafybeih3olry3is4e4lzm7rus5l3h6zrphcal5a7ayfkhzm5oivjro2cp4/#/address/0x6fF9B356093799BE6435e16002E282E42C805D6a", "0x6fF9B356093799BE6435e16002E282E42C805D6a")</x:f>
      </x:c>
      <x:c r="D168" s="4" t="str">
        <x:f t="shared" si="10"/>
        <x:v>Atropa Dev</x:v>
      </x:c>
      <x:c r="E168" s="4" t="e">
        <x:f>HYPERLINK("https://scan.mypinata.cloud/ipfs/bafybeih3olry3is4e4lzm7rus5l3h6zrphcal5a7ayfkhzm5oivjro2cp4/#/block/19411009", "19411009")</x:f>
      </x:c>
      <x:c r="F168" s="4" t="e">
        <x:f>HYPERLINK("https://scan.mypinata.cloud/ipfs/bafybeih3olry3is4e4lzm7rus5l3h6zrphcal5a7ayfkhzm5oivjro2cp4/#/tx/0x2fe8eb6ebabfd784ab2e8652d8024e51c056747f4a69f862f97785dc7566a626", "2024-01-21 15:53:25")</x:f>
      </x:c>
      <x:c r="G168" s="5">
        <x:v>171.0</x:v>
      </x:c>
      <x:c r="H168" s="5">
        <x:v>171.0</x:v>
      </x:c>
      <x:c r="I168" s="5">
        <x:v>171.0</x:v>
      </x:c>
      <x:c r="J168" s="5">
        <x:v>0.0</x:v>
      </x:c>
      <x:c r="K168" s="5">
        <x:v>0.0</x:v>
      </x:c>
      <x:c r="L168" s="2" t="s">
        <x:v>28</x:v>
      </x:c>
      <x:c r="M168" s="2" t="s">
        <x:v>28</x:v>
      </x:c>
      <x:c r="N168" s="2" t="e">
        <x:f>IFERROR(__xludf.DUMMYFUNCTION("IF(ISDATE(TO_DATE(L168)), MAX(0, ROUND(TODAY() - TO_DATE(L168)), 0), ""-"")"),"-")</x:f>
      </x:c>
      <x:c r="O168" s="2" t="e">
        <x:f>IFERROR(__xludf.DUMMYFUNCTION("IF(ISDATE(TO_DATE(M168)), MAX(0, ROUND(TODAY() - TO_DATE(M168)), 0), ""-"")"),"-")</x:f>
      </x:c>
      <x:c r="P168" s="2" t="s">
        <x:v>28</x:v>
      </x:c>
      <x:c r="Q168" s="2" t="s">
        <x:v>28</x:v>
      </x:c>
      <x:c r="R168" s="2" t="s">
        <x:v>28</x:v>
      </x:c>
      <x:c r="S168" s="2" t="s">
        <x:v>28</x:v>
      </x:c>
      <x:c r="T168" s="2" t="s">
        <x:v>28</x:v>
      </x:c>
      <x:c r="U168" s="2" t="s">
        <x:v>28</x:v>
      </x:c>
      <x:c r="V168" s="2" t="s">
        <x:v>28</x:v>
      </x:c>
      <x:c r="W168" s="2" t="s">
        <x:v>28</x:v>
      </x:c>
      <x:c r="X168" s="2" t="s">
        <x:v>28</x:v>
      </x:c>
      <x:c r="Y168" s="2" t="s">
        <x:v>28</x:v>
      </x:c>
      <x:c r="Z168" s="9" t="s">
        <x:v>370</x:v>
      </x:c>
      <x:c r="AA168" s="57" t="str">
        <x:v>Snapshot only — run GitHub workflow</x:v>
      </x:c>
      <x:c r="AB168" s="58" t="n">
        <x:f>IFERROR(H168/G168,"")</x:f>
        <x:v>1</x:v>
      </x:c>
      <x:c r="AC168" s="57" t="str"/>
      <x:c r="AD168" s="57" t="str"/>
      <x:c r="AE168" s="57" t="str"/>
      <x:c r="AF168" s="57" t="str"/>
      <x:c r="AG168" s="2"/>
      <x:c r="AH168" s="2"/>
    </x:row>
    <x:row r="169" ht="15.75" customHeight="1">
      <x:c r="A169" s="2" t="s">
        <x:v>371</x:v>
      </x:c>
      <x:c r="B169" s="2" t="s">
        <x:v>372</x:v>
      </x:c>
      <x:c r="C169" s="3" t="e">
        <x:f>HYPERLINK("https://scan.mypinata.cloud/ipfs/bafybeih3olry3is4e4lzm7rus5l3h6zrphcal5a7ayfkhzm5oivjro2cp4/#/address/0xC2F43EdD0bedC81003D75E33c6E34c8Da0f16604", "0xC2F43EdD0bedC81003D75E33c6E34c8Da0f16604")</x:f>
      </x:c>
      <x:c r="D169" s="4" t="str">
        <x:f t="shared" si="10"/>
        <x:v>Atropa Dev</x:v>
      </x:c>
      <x:c r="E169" s="4" t="e">
        <x:f>HYPERLINK("https://scan.mypinata.cloud/ipfs/bafybeih3olry3is4e4lzm7rus5l3h6zrphcal5a7ayfkhzm5oivjro2cp4/#/block/19411103", "19411103")</x:f>
      </x:c>
      <x:c r="F169" s="4" t="e">
        <x:f>HYPERLINK("https://scan.mypinata.cloud/ipfs/bafybeih3olry3is4e4lzm7rus5l3h6zrphcal5a7ayfkhzm5oivjro2cp4/#/tx/0xc78ef2b98d4f5a096e598238e24ae0b7036fcfc705a28b03bd2e708a5e8d821b", "2024-01-21 16:09:05")</x:f>
      </x:c>
      <x:c r="G169" s="5">
        <x:v>99.0</x:v>
      </x:c>
      <x:c r="H169" s="5">
        <x:v>99.0</x:v>
      </x:c>
      <x:c r="I169" s="5">
        <x:v>98.98603324328867</x:v>
      </x:c>
      <x:c r="J169" s="5">
        <x:v>0.0</x:v>
      </x:c>
      <x:c r="K169" s="5">
        <x:v>0.0139667567113285</x:v>
      </x:c>
      <x:c r="L169" s="2" t="s">
        <x:v>28</x:v>
      </x:c>
      <x:c r="M169" s="4" t="e">
        <x:f>HYPERLINK("https://scan.mypinata.cloud/ipfs/bafybeih3olry3is4e4lzm7rus5l3h6zrphcal5a7ayfkhzm5oivjro2cp4/#/tx/0xa205af8347e83e0a1c570e681873136ac0780dbc8d75e07884e8ffbca8d808d4", "2024-02-01 00:46:45")</x:f>
      </x:c>
      <x:c r="N169" s="2" t="e">
        <x:f>IFERROR(__xludf.DUMMYFUNCTION("IF(ISDATE(TO_DATE(L169)), MAX(0, ROUND(TODAY() - TO_DATE(L169)), 0), ""-"")"),"-")</x:f>
      </x:c>
      <x:c r="O169" s="2" t="e">
        <x:f>IFERROR(__xludf.DUMMYFUNCTION("IF(ISDATE(TO_DATE(M169)), MAX(0, ROUND(TODAY() - TO_DATE(M169)), 0), ""-"")"),883.0)</x:f>
      </x:c>
      <x:c r="P169" s="6">
        <x:v>346.88</x:v>
      </x:c>
      <x:c r="Q169" s="6">
        <x:v>8593587.4807</x:v>
      </x:c>
      <x:c r="R169" s="7">
        <x:v>34341.12</x:v>
      </x:c>
      <x:c r="S169" s="7">
        <x:v>34336.0</x:v>
      </x:c>
      <x:c r="T169" s="7">
        <x:v>3.41</x:v>
      </x:c>
      <x:c r="U169" s="7">
        <x:v>255.49</x:v>
      </x:c>
      <x:c r="V169" s="2" t="s">
        <x:v>28</x:v>
      </x:c>
      <x:c r="W169" s="2" t="s">
        <x:v>28</x:v>
      </x:c>
      <x:c r="X169" s="2" t="s">
        <x:v>28</x:v>
      </x:c>
      <x:c r="Y169" s="2" t="s">
        <x:v>28</x:v>
      </x:c>
      <x:c r="Z169" s="9" t="s">
        <x:v>373</x:v>
      </x:c>
      <x:c r="AA169" s="57" t="str">
        <x:v>Snapshot only — run GitHub workflow</x:v>
      </x:c>
      <x:c r="AB169" s="58" t="n">
        <x:f>IFERROR(H169/G169,"")</x:f>
        <x:v>1</x:v>
      </x:c>
      <x:c r="AC169" s="57" t="str"/>
      <x:c r="AD169" s="57" t="str"/>
      <x:c r="AE169" s="57" t="str"/>
      <x:c r="AF169" s="57" t="str"/>
      <x:c r="AG169" s="2"/>
      <x:c r="AH169" s="2"/>
    </x:row>
    <x:row r="170" ht="15.75" customHeight="1">
      <x:c r="A170" s="12" t="s">
        <x:v>374</x:v>
      </x:c>
      <x:c r="B170" s="12" t="s">
        <x:v>375</x:v>
      </x:c>
      <x:c r="C170" s="13" t="e">
        <x:f>HYPERLINK("https://scan.mypinata.cloud/ipfs/bafybeih3olry3is4e4lzm7rus5l3h6zrphcal5a7ayfkhzm5oivjro2cp4/#/address/0x99717F0924F10beb9b818Ae018914B94fa047fA6", "0x99717F0924F10beb9b818Ae018914B94fa047fA6")</x:f>
      </x:c>
      <x:c r="D170" s="14" t="str">
        <x:f t="shared" si="10"/>
        <x:v>Atropa Dev</x:v>
      </x:c>
      <x:c r="E170" s="14" t="e">
        <x:f>HYPERLINK("https://scan.mypinata.cloud/ipfs/bafybeih3olry3is4e4lzm7rus5l3h6zrphcal5a7ayfkhzm5oivjro2cp4/#/block/19436836", "19436836")</x:f>
      </x:c>
      <x:c r="F170" s="14" t="e">
        <x:f>HYPERLINK("https://scan.mypinata.cloud/ipfs/bafybeih3olry3is4e4lzm7rus5l3h6zrphcal5a7ayfkhzm5oivjro2cp4/#/tx/0xb965dd530c8e1683db7eb44cfc8b39f38492c5541c200f4ed796acfdcd210ff9", "2024-01-24 16:11:45")</x:f>
      </x:c>
      <x:c r="G170" s="15">
        <x:v>666.0</x:v>
      </x:c>
      <x:c r="H170" s="15">
        <x:v>666.0</x:v>
      </x:c>
      <x:c r="I170" s="15">
        <x:v>666.0</x:v>
      </x:c>
      <x:c r="J170" s="15">
        <x:v>0.0</x:v>
      </x:c>
      <x:c r="K170" s="15">
        <x:v>0.0</x:v>
      </x:c>
      <x:c r="L170" s="16" t="s">
        <x:v>28</x:v>
      </x:c>
      <x:c r="M170" s="16" t="s">
        <x:v>28</x:v>
      </x:c>
      <x:c r="N170" s="16" t="e">
        <x:f>IFERROR(__xludf.DUMMYFUNCTION("IF(ISDATE(TO_DATE(L170)), MAX(0, ROUND(TODAY() - TO_DATE(L170)), 0), ""-"")"),"-")</x:f>
      </x:c>
      <x:c r="O170" s="16" t="e">
        <x:f>IFERROR(__xludf.DUMMYFUNCTION("IF(ISDATE(TO_DATE(M170)), MAX(0, ROUND(TODAY() - TO_DATE(M170)), 0), ""-"")"),"-")</x:f>
      </x:c>
      <x:c r="P170" s="17">
        <x:v>87.41</x:v>
      </x:c>
      <x:c r="Q170" s="17">
        <x:v>2172683.7602</x:v>
      </x:c>
      <x:c r="R170" s="18">
        <x:v>58215.06</x:v>
      </x:c>
      <x:c r="S170" s="18">
        <x:v>58218.0</x:v>
      </x:c>
      <x:c r="T170" s="18">
        <x:v>1.88</x:v>
      </x:c>
      <x:c r="U170" s="18">
        <x:v>177.19</x:v>
      </x:c>
      <x:c r="V170" s="16" t="s">
        <x:v>28</x:v>
      </x:c>
      <x:c r="W170" s="16" t="s">
        <x:v>28</x:v>
      </x:c>
      <x:c r="X170" s="16" t="s">
        <x:v>28</x:v>
      </x:c>
      <x:c r="Y170" s="16" t="s">
        <x:v>28</x:v>
      </x:c>
      <x:c r="Z170" s="19" t="s">
        <x:v>373</x:v>
      </x:c>
      <x:c r="AA170" s="37" t="str">
        <x:v>Snapshot only — run GitHub workflow</x:v>
      </x:c>
      <x:c r="AB170" s="59" t="n">
        <x:f>IFERROR(H170/G170,"")</x:f>
        <x:v>1</x:v>
      </x:c>
      <x:c r="AC170" s="37" t="str"/>
      <x:c r="AD170" s="37" t="str"/>
      <x:c r="AE170" s="37" t="str"/>
      <x:c r="AF170" s="37" t="str"/>
      <x:c r="AG170" s="16"/>
      <x:c r="AH170" s="16"/>
    </x:row>
    <x:row r="171" ht="15.75" customHeight="1">
      <x:c r="A171" s="12" t="s">
        <x:v>376</x:v>
      </x:c>
      <x:c r="B171" s="12" t="s">
        <x:v>377</x:v>
      </x:c>
      <x:c r="C171" s="13" t="e">
        <x:f>HYPERLINK("https://scan.mypinata.cloud/ipfs/bafybeih3olry3is4e4lzm7rus5l3h6zrphcal5a7ayfkhzm5oivjro2cp4/#/address/0x210FEBCfd632CE314A72C4a83f416CcfA3Bf847b", "0x210FEBCfd632CE314A72C4a83f416CcfA3Bf847b")</x:f>
      </x:c>
      <x:c r="D171" s="14" t="str">
        <x:f t="shared" si="10"/>
        <x:v>Atropa Dev</x:v>
      </x:c>
      <x:c r="E171" s="14" t="e">
        <x:f>HYPERLINK("https://scan.mypinata.cloud/ipfs/bafybeih3olry3is4e4lzm7rus5l3h6zrphcal5a7ayfkhzm5oivjro2cp4/#/block/19437071", "19437071")</x:f>
      </x:c>
      <x:c r="F171" s="14" t="e">
        <x:f>HYPERLINK("https://scan.mypinata.cloud/ipfs/bafybeih3olry3is4e4lzm7rus5l3h6zrphcal5a7ayfkhzm5oivjro2cp4/#/tx/0x1e4869e67fef9dfdad3ce5a4850d5503aa58c1568c23b17feb8b12ff6cc60d31", "2024-01-24 16:50:55")</x:f>
      </x:c>
      <x:c r="G171" s="15">
        <x:v>666.0</x:v>
      </x:c>
      <x:c r="H171" s="15">
        <x:v>666.0</x:v>
      </x:c>
      <x:c r="I171" s="15">
        <x:v>666.0</x:v>
      </x:c>
      <x:c r="J171" s="15">
        <x:v>0.0</x:v>
      </x:c>
      <x:c r="K171" s="15">
        <x:v>0.0</x:v>
      </x:c>
      <x:c r="L171" s="16" t="s">
        <x:v>28</x:v>
      </x:c>
      <x:c r="M171" s="16" t="s">
        <x:v>28</x:v>
      </x:c>
      <x:c r="N171" s="16" t="e">
        <x:f>IFERROR(__xludf.DUMMYFUNCTION("IF(ISDATE(TO_DATE(L171)), MAX(0, ROUND(TODAY() - TO_DATE(L171)), 0), ""-"")"),"-")</x:f>
      </x:c>
      <x:c r="O171" s="16" t="e">
        <x:f>IFERROR(__xludf.DUMMYFUNCTION("IF(ISDATE(TO_DATE(M171)), MAX(0, ROUND(TODAY() - TO_DATE(M171)), 0), ""-"")"),"-")</x:f>
      </x:c>
      <x:c r="P171" s="16" t="s">
        <x:v>28</x:v>
      </x:c>
      <x:c r="Q171" s="16" t="s">
        <x:v>28</x:v>
      </x:c>
      <x:c r="R171" s="16" t="s">
        <x:v>28</x:v>
      </x:c>
      <x:c r="S171" s="16" t="s">
        <x:v>28</x:v>
      </x:c>
      <x:c r="T171" s="16" t="s">
        <x:v>28</x:v>
      </x:c>
      <x:c r="U171" s="16" t="s">
        <x:v>28</x:v>
      </x:c>
      <x:c r="V171" s="16" t="s">
        <x:v>28</x:v>
      </x:c>
      <x:c r="W171" s="16" t="s">
        <x:v>28</x:v>
      </x:c>
      <x:c r="X171" s="16" t="s">
        <x:v>28</x:v>
      </x:c>
      <x:c r="Y171" s="16" t="s">
        <x:v>28</x:v>
      </x:c>
      <x:c r="Z171" s="19" t="s">
        <x:v>365</x:v>
      </x:c>
      <x:c r="AA171" s="37" t="str">
        <x:v>Snapshot only — run GitHub workflow</x:v>
      </x:c>
      <x:c r="AB171" s="59" t="n">
        <x:f>IFERROR(H171/G171,"")</x:f>
        <x:v>1</x:v>
      </x:c>
      <x:c r="AC171" s="37" t="str"/>
      <x:c r="AD171" s="37" t="str"/>
      <x:c r="AE171" s="37" t="str"/>
      <x:c r="AF171" s="37" t="str"/>
      <x:c r="AG171" s="16"/>
      <x:c r="AH171" s="16"/>
    </x:row>
    <x:row r="172" ht="15.75" customHeight="1">
      <x:c r="A172" s="12" t="s">
        <x:v>378</x:v>
      </x:c>
      <x:c r="B172" s="12" t="s">
        <x:v>379</x:v>
      </x:c>
      <x:c r="C172" s="13" t="e">
        <x:f>HYPERLINK("https://scan.mypinata.cloud/ipfs/bafybeih3olry3is4e4lzm7rus5l3h6zrphcal5a7ayfkhzm5oivjro2cp4/#/address/0x7ecB028b1d2c371e8BdccDaAdd39C73BD5019FcA", "0x7ecB028b1d2c371e8BdccDaAdd39C73BD5019FcA")</x:f>
      </x:c>
      <x:c r="D172" s="14" t="str">
        <x:f t="shared" si="10"/>
        <x:v>Atropa Dev</x:v>
      </x:c>
      <x:c r="E172" s="14" t="e">
        <x:f>HYPERLINK("https://scan.mypinata.cloud/ipfs/bafybeih3olry3is4e4lzm7rus5l3h6zrphcal5a7ayfkhzm5oivjro2cp4/#/block/19464508", "19464508")</x:f>
      </x:c>
      <x:c r="F172" s="14" t="e">
        <x:f>HYPERLINK("https://scan.mypinata.cloud/ipfs/bafybeih3olry3is4e4lzm7rus5l3h6zrphcal5a7ayfkhzm5oivjro2cp4/#/tx/0x8e6def4de708f06360920698234770eca6ccc52fe7ae0f19c0a615a9439ad199", "2024-01-27 21:34:45")</x:f>
      </x:c>
      <x:c r="G172" s="15">
        <x:v>0.0</x:v>
      </x:c>
      <x:c r="H172" s="15">
        <x:v>666.0</x:v>
      </x:c>
      <x:c r="I172" s="15">
        <x:v>666.0</x:v>
      </x:c>
      <x:c r="J172" s="15">
        <x:v>6.66E17</x:v>
      </x:c>
      <x:c r="K172" s="15">
        <x:v>0.0</x:v>
      </x:c>
      <x:c r="L172" s="16" t="s">
        <x:v>28</x:v>
      </x:c>
      <x:c r="M172" s="16" t="s">
        <x:v>28</x:v>
      </x:c>
      <x:c r="N172" s="16" t="e">
        <x:f>IFERROR(__xludf.DUMMYFUNCTION("IF(ISDATE(TO_DATE(L172)), MAX(0, ROUND(TODAY() - TO_DATE(L172)), 0), ""-"")"),"-")</x:f>
      </x:c>
      <x:c r="O172" s="16" t="e">
        <x:f>IFERROR(__xludf.DUMMYFUNCTION("IF(ISDATE(TO_DATE(M172)), MAX(0, ROUND(TODAY() - TO_DATE(M172)), 0), ""-"")"),"-")</x:f>
      </x:c>
      <x:c r="P172" s="16" t="s">
        <x:v>28</x:v>
      </x:c>
      <x:c r="Q172" s="16" t="s">
        <x:v>28</x:v>
      </x:c>
      <x:c r="R172" s="16" t="s">
        <x:v>28</x:v>
      </x:c>
      <x:c r="S172" s="16" t="s">
        <x:v>28</x:v>
      </x:c>
      <x:c r="T172" s="16" t="s">
        <x:v>28</x:v>
      </x:c>
      <x:c r="U172" s="16" t="s">
        <x:v>28</x:v>
      </x:c>
      <x:c r="V172" s="16" t="s">
        <x:v>28</x:v>
      </x:c>
      <x:c r="W172" s="16" t="s">
        <x:v>28</x:v>
      </x:c>
      <x:c r="X172" s="16" t="s">
        <x:v>28</x:v>
      </x:c>
      <x:c r="Y172" s="16" t="s">
        <x:v>28</x:v>
      </x:c>
      <x:c r="Z172" s="19" t="s">
        <x:v>380</x:v>
      </x:c>
      <x:c r="AA172" s="37" t="str">
        <x:v>Snapshot only — run GitHub workflow</x:v>
      </x:c>
      <x:c r="AB172" s="59" t="str">
        <x:f>IFERROR(H172/G172,"")</x:f>
      </x:c>
      <x:c r="AC172" s="37" t="str"/>
      <x:c r="AD172" s="37" t="str"/>
      <x:c r="AE172" s="37" t="str"/>
      <x:c r="AF172" s="37" t="str"/>
      <x:c r="AG172" s="16"/>
      <x:c r="AH172" s="16"/>
    </x:row>
    <x:row r="173" ht="15.75" customHeight="1">
      <x:c r="A173" s="12" t="s">
        <x:v>381</x:v>
      </x:c>
      <x:c r="B173" s="12" t="s">
        <x:v>382</x:v>
      </x:c>
      <x:c r="C173" s="13" t="e">
        <x:f>HYPERLINK("https://scan.mypinata.cloud/ipfs/bafybeih3olry3is4e4lzm7rus5l3h6zrphcal5a7ayfkhzm5oivjro2cp4/#/address/0x9388775D774cd477673931327b7e36b0CCC5D3A5", "0x9388775D774cd477673931327b7e36b0CCC5D3A5")</x:f>
      </x:c>
      <x:c r="D173" s="14" t="str">
        <x:f t="shared" si="10"/>
        <x:v>Atropa Dev</x:v>
      </x:c>
      <x:c r="E173" s="14" t="e">
        <x:f>HYPERLINK("https://scan.mypinata.cloud/ipfs/bafybeih3olry3is4e4lzm7rus5l3h6zrphcal5a7ayfkhzm5oivjro2cp4/#/block/19470209", "19470209")</x:f>
      </x:c>
      <x:c r="F173" s="14" t="e">
        <x:f>HYPERLINK("https://scan.mypinata.cloud/ipfs/bafybeih3olry3is4e4lzm7rus5l3h6zrphcal5a7ayfkhzm5oivjro2cp4/#/tx/0x7483ae445790e6dd4e041248843175b898704c65f0f674378305212ddce8bdaa", "2024-01-28 13:31:05")</x:f>
      </x:c>
      <x:c r="G173" s="15">
        <x:v>666.0</x:v>
      </x:c>
      <x:c r="H173" s="15">
        <x:v>666.0</x:v>
      </x:c>
      <x:c r="I173" s="15">
        <x:v>666.0</x:v>
      </x:c>
      <x:c r="J173" s="15">
        <x:v>0.0</x:v>
      </x:c>
      <x:c r="K173" s="15">
        <x:v>0.0</x:v>
      </x:c>
      <x:c r="L173" s="16" t="s">
        <x:v>28</x:v>
      </x:c>
      <x:c r="M173" s="16" t="s">
        <x:v>28</x:v>
      </x:c>
      <x:c r="N173" s="16" t="e">
        <x:f>IFERROR(__xludf.DUMMYFUNCTION("IF(ISDATE(TO_DATE(L173)), MAX(0, ROUND(TODAY() - TO_DATE(L173)), 0), ""-"")"),"-")</x:f>
      </x:c>
      <x:c r="O173" s="16" t="e">
        <x:f>IFERROR(__xludf.DUMMYFUNCTION("IF(ISDATE(TO_DATE(M173)), MAX(0, ROUND(TODAY() - TO_DATE(M173)), 0), ""-"")"),"-")</x:f>
      </x:c>
      <x:c r="P173" s="16" t="s">
        <x:v>28</x:v>
      </x:c>
      <x:c r="Q173" s="16" t="s">
        <x:v>28</x:v>
      </x:c>
      <x:c r="R173" s="16" t="s">
        <x:v>28</x:v>
      </x:c>
      <x:c r="S173" s="16" t="s">
        <x:v>28</x:v>
      </x:c>
      <x:c r="T173" s="16" t="s">
        <x:v>28</x:v>
      </x:c>
      <x:c r="U173" s="16" t="s">
        <x:v>28</x:v>
      </x:c>
      <x:c r="V173" s="16" t="s">
        <x:v>28</x:v>
      </x:c>
      <x:c r="W173" s="16" t="s">
        <x:v>28</x:v>
      </x:c>
      <x:c r="X173" s="16" t="s">
        <x:v>28</x:v>
      </x:c>
      <x:c r="Y173" s="16" t="s">
        <x:v>28</x:v>
      </x:c>
      <x:c r="Z173" s="19" t="s">
        <x:v>383</x:v>
      </x:c>
      <x:c r="AA173" s="37" t="str">
        <x:v>Snapshot only — run GitHub workflow</x:v>
      </x:c>
      <x:c r="AB173" s="59" t="n">
        <x:f>IFERROR(H173/G173,"")</x:f>
        <x:v>1</x:v>
      </x:c>
      <x:c r="AC173" s="37" t="str"/>
      <x:c r="AD173" s="37" t="str"/>
      <x:c r="AE173" s="37" t="str"/>
      <x:c r="AF173" s="37" t="str"/>
      <x:c r="AG173" s="16"/>
      <x:c r="AH173" s="16"/>
    </x:row>
    <x:row r="174" ht="15.75" customHeight="1">
      <x:c r="A174" s="2" t="s">
        <x:v>384</x:v>
      </x:c>
      <x:c r="B174" s="2" t="s">
        <x:v>385</x:v>
      </x:c>
      <x:c r="C174" s="3" t="e">
        <x:f>HYPERLINK("https://scan.mypinata.cloud/ipfs/bafybeih3olry3is4e4lzm7rus5l3h6zrphcal5a7ayfkhzm5oivjro2cp4/#/address/0x0B04A3af4c4D562694707fb93B7BcA28C057DCB3", "0x0B04A3af4c4D562694707fb93B7BcA28C057DCB3")</x:f>
      </x:c>
      <x:c r="D174" s="4" t="str">
        <x:f t="shared" si="10"/>
        <x:v>Atropa Dev</x:v>
      </x:c>
      <x:c r="E174" s="4" t="e">
        <x:f>HYPERLINK("https://scan.mypinata.cloud/ipfs/bafybeih3olry3is4e4lzm7rus5l3h6zrphcal5a7ayfkhzm5oivjro2cp4/#/block/19470215", "19470215")</x:f>
      </x:c>
      <x:c r="F174" s="4" t="e">
        <x:f>HYPERLINK("https://scan.mypinata.cloud/ipfs/bafybeih3olry3is4e4lzm7rus5l3h6zrphcal5a7ayfkhzm5oivjro2cp4/#/tx/0x3406b7ed60ae9c9a267401ff8dbdfb0efca7b2d2d2d01194b09d6b2f11df4560", "2024-01-28 13:32:05")</x:f>
      </x:c>
      <x:c r="G174" s="5">
        <x:v>0.0</x:v>
      </x:c>
      <x:c r="H174" s="5">
        <x:v>666.0</x:v>
      </x:c>
      <x:c r="I174" s="5">
        <x:v>666.0</x:v>
      </x:c>
      <x:c r="J174" s="5">
        <x:v>6.66E17</x:v>
      </x:c>
      <x:c r="K174" s="5">
        <x:v>0.0</x:v>
      </x:c>
      <x:c r="L174" s="2" t="s">
        <x:v>28</x:v>
      </x:c>
      <x:c r="M174" s="2" t="s">
        <x:v>28</x:v>
      </x:c>
      <x:c r="N174" s="2" t="e">
        <x:f>IFERROR(__xludf.DUMMYFUNCTION("IF(ISDATE(TO_DATE(L174)), MAX(0, ROUND(TODAY() - TO_DATE(L174)), 0), ""-"")"),"-")</x:f>
      </x:c>
      <x:c r="O174" s="2" t="e">
        <x:f>IFERROR(__xludf.DUMMYFUNCTION("IF(ISDATE(TO_DATE(M174)), MAX(0, ROUND(TODAY() - TO_DATE(M174)), 0), ""-"")"),"-")</x:f>
      </x:c>
      <x:c r="P174" s="2" t="s">
        <x:v>28</x:v>
      </x:c>
      <x:c r="Q174" s="2" t="s">
        <x:v>28</x:v>
      </x:c>
      <x:c r="R174" s="2" t="s">
        <x:v>28</x:v>
      </x:c>
      <x:c r="S174" s="2" t="s">
        <x:v>28</x:v>
      </x:c>
      <x:c r="T174" s="2" t="s">
        <x:v>28</x:v>
      </x:c>
      <x:c r="U174" s="2" t="s">
        <x:v>28</x:v>
      </x:c>
      <x:c r="V174" s="2" t="s">
        <x:v>28</x:v>
      </x:c>
      <x:c r="W174" s="2" t="s">
        <x:v>28</x:v>
      </x:c>
      <x:c r="X174" s="2" t="s">
        <x:v>28</x:v>
      </x:c>
      <x:c r="Y174" s="2" t="s">
        <x:v>28</x:v>
      </x:c>
      <x:c r="Z174" s="9" t="s">
        <x:v>386</x:v>
      </x:c>
      <x:c r="AA174" s="57" t="str">
        <x:v>Snapshot only — run GitHub workflow</x:v>
      </x:c>
      <x:c r="AB174" s="58" t="str">
        <x:f>IFERROR(H174/G174,"")</x:f>
      </x:c>
      <x:c r="AC174" s="57" t="str"/>
      <x:c r="AD174" s="57" t="str"/>
      <x:c r="AE174" s="57" t="str"/>
      <x:c r="AF174" s="57" t="str"/>
      <x:c r="AG174" s="2"/>
      <x:c r="AH174" s="2"/>
    </x:row>
    <x:row r="175" ht="15.75" customHeight="1">
      <x:c r="A175" s="2" t="s">
        <x:v>387</x:v>
      </x:c>
      <x:c r="B175" s="11" t="s">
        <x:v>388</x:v>
      </x:c>
      <x:c r="C175" s="3" t="e">
        <x:f>HYPERLINK("https://scan.mypinata.cloud/ipfs/bafybeih3olry3is4e4lzm7rus5l3h6zrphcal5a7ayfkhzm5oivjro2cp4/#/address/0x1235fC9d69a215b898a38CDD0129eeC13657b31f", "0x1235fC9d69a215b898a38CDD0129eeC13657b31f")</x:f>
      </x:c>
      <x:c r="D175" s="4" t="str">
        <x:f t="shared" si="10"/>
        <x:v>Atropa Dev</x:v>
      </x:c>
      <x:c r="E175" s="4" t="e">
        <x:f>HYPERLINK("https://scan.mypinata.cloud/ipfs/bafybeih3olry3is4e4lzm7rus5l3h6zrphcal5a7ayfkhzm5oivjro2cp4/#/block/19471265", "19471265")</x:f>
      </x:c>
      <x:c r="F175" s="4" t="e">
        <x:f>HYPERLINK("https://scan.mypinata.cloud/ipfs/bafybeih3olry3is4e4lzm7rus5l3h6zrphcal5a7ayfkhzm5oivjro2cp4/#/tx/0xd5979c2997c30e66e5b9302b83757784ffe1c9fd85c85d6cadeea7bd89d8ab1a", "2024-01-28 16:27:55")</x:f>
      </x:c>
      <x:c r="G175" s="5">
        <x:v>666.0</x:v>
      </x:c>
      <x:c r="H175" s="5">
        <x:v>666.0</x:v>
      </x:c>
      <x:c r="I175" s="5">
        <x:v>666.0</x:v>
      </x:c>
      <x:c r="J175" s="5">
        <x:v>0.0</x:v>
      </x:c>
      <x:c r="K175" s="5">
        <x:v>0.0</x:v>
      </x:c>
      <x:c r="L175" s="2" t="s">
        <x:v>28</x:v>
      </x:c>
      <x:c r="M175" s="2" t="s">
        <x:v>28</x:v>
      </x:c>
      <x:c r="N175" s="2" t="e">
        <x:f>IFERROR(__xludf.DUMMYFUNCTION("IF(ISDATE(TO_DATE(L175)), MAX(0, ROUND(TODAY() - TO_DATE(L175)), 0), ""-"")"),"-")</x:f>
      </x:c>
      <x:c r="O175" s="2" t="e">
        <x:f>IFERROR(__xludf.DUMMYFUNCTION("IF(ISDATE(TO_DATE(M175)), MAX(0, ROUND(TODAY() - TO_DATE(M175)), 0), ""-"")"),"-")</x:f>
      </x:c>
      <x:c r="P175" s="2" t="s">
        <x:v>28</x:v>
      </x:c>
      <x:c r="Q175" s="2" t="s">
        <x:v>28</x:v>
      </x:c>
      <x:c r="R175" s="2" t="s">
        <x:v>28</x:v>
      </x:c>
      <x:c r="S175" s="2" t="s">
        <x:v>28</x:v>
      </x:c>
      <x:c r="T175" s="2" t="s">
        <x:v>28</x:v>
      </x:c>
      <x:c r="U175" s="2" t="s">
        <x:v>28</x:v>
      </x:c>
      <x:c r="V175" s="2" t="s">
        <x:v>28</x:v>
      </x:c>
      <x:c r="W175" s="2" t="s">
        <x:v>28</x:v>
      </x:c>
      <x:c r="X175" s="2" t="s">
        <x:v>28</x:v>
      </x:c>
      <x:c r="Y175" s="2" t="s">
        <x:v>28</x:v>
      </x:c>
      <x:c r="Z175" s="9" t="s">
        <x:v>389</x:v>
      </x:c>
      <x:c r="AA175" s="57" t="str">
        <x:v>Snapshot only — run GitHub workflow</x:v>
      </x:c>
      <x:c r="AB175" s="58" t="n">
        <x:f>IFERROR(H175/G175,"")</x:f>
        <x:v>1</x:v>
      </x:c>
      <x:c r="AC175" s="57" t="str"/>
      <x:c r="AD175" s="57" t="str"/>
      <x:c r="AE175" s="57" t="str"/>
      <x:c r="AF175" s="57" t="str"/>
      <x:c r="AG175" s="2"/>
      <x:c r="AH175" s="2"/>
    </x:row>
    <x:row r="176" ht="15.75" customHeight="1">
      <x:c r="A176" s="12" t="s">
        <x:v>390</x:v>
      </x:c>
      <x:c r="B176" s="12" t="s">
        <x:v>391</x:v>
      </x:c>
      <x:c r="C176" s="13" t="e">
        <x:f>HYPERLINK("https://scan.mypinata.cloud/ipfs/bafybeih3olry3is4e4lzm7rus5l3h6zrphcal5a7ayfkhzm5oivjro2cp4/#/address/0x345e15235A5a3D6F1a4A88234a7e611f14745475", "0x345e15235A5a3D6F1a4A88234a7e611f14745475")</x:f>
      </x:c>
      <x:c r="D176" s="14" t="str">
        <x:f t="shared" si="10"/>
        <x:v>Atropa Dev</x:v>
      </x:c>
      <x:c r="E176" s="14" t="e">
        <x:f>HYPERLINK("https://scan.mypinata.cloud/ipfs/bafybeih3olry3is4e4lzm7rus5l3h6zrphcal5a7ayfkhzm5oivjro2cp4/#/block/19481470", "19481470")</x:f>
      </x:c>
      <x:c r="F176" s="14" t="e">
        <x:f>HYPERLINK("https://scan.mypinata.cloud/ipfs/bafybeih3olry3is4e4lzm7rus5l3h6zrphcal5a7ayfkhzm5oivjro2cp4/#/tx/0x3429f2011bf49276dab4a6857b0e03097831918718a2da6aade1de7a49fbd025", "2024-01-29 21:09:55")</x:f>
      </x:c>
      <x:c r="G176" s="15">
        <x:v>0.0</x:v>
      </x:c>
      <x:c r="H176" s="15">
        <x:v>666.0</x:v>
      </x:c>
      <x:c r="I176" s="15">
        <x:v>666.0</x:v>
      </x:c>
      <x:c r="J176" s="15">
        <x:v>6.66E17</x:v>
      </x:c>
      <x:c r="K176" s="15">
        <x:v>0.0</x:v>
      </x:c>
      <x:c r="L176" s="16" t="s">
        <x:v>28</x:v>
      </x:c>
      <x:c r="M176" s="16" t="s">
        <x:v>28</x:v>
      </x:c>
      <x:c r="N176" s="16" t="e">
        <x:f>IFERROR(__xludf.DUMMYFUNCTION("IF(ISDATE(TO_DATE(L176)), MAX(0, ROUND(TODAY() - TO_DATE(L176)), 0), ""-"")"),"-")</x:f>
      </x:c>
      <x:c r="O176" s="16" t="e">
        <x:f>IFERROR(__xludf.DUMMYFUNCTION("IF(ISDATE(TO_DATE(M176)), MAX(0, ROUND(TODAY() - TO_DATE(M176)), 0), ""-"")"),"-")</x:f>
      </x:c>
      <x:c r="P176" s="16" t="s">
        <x:v>28</x:v>
      </x:c>
      <x:c r="Q176" s="16" t="s">
        <x:v>28</x:v>
      </x:c>
      <x:c r="R176" s="16" t="s">
        <x:v>28</x:v>
      </x:c>
      <x:c r="S176" s="16" t="s">
        <x:v>28</x:v>
      </x:c>
      <x:c r="T176" s="16" t="s">
        <x:v>28</x:v>
      </x:c>
      <x:c r="U176" s="16" t="s">
        <x:v>28</x:v>
      </x:c>
      <x:c r="V176" s="16" t="s">
        <x:v>28</x:v>
      </x:c>
      <x:c r="W176" s="16" t="s">
        <x:v>28</x:v>
      </x:c>
      <x:c r="X176" s="16" t="s">
        <x:v>28</x:v>
      </x:c>
      <x:c r="Y176" s="16" t="s">
        <x:v>28</x:v>
      </x:c>
      <x:c r="Z176" s="19" t="s">
        <x:v>392</x:v>
      </x:c>
      <x:c r="AA176" s="37" t="str">
        <x:v>Snapshot only — run GitHub workflow</x:v>
      </x:c>
      <x:c r="AB176" s="59" t="str">
        <x:f>IFERROR(H176/G176,"")</x:f>
      </x:c>
      <x:c r="AC176" s="37" t="str"/>
      <x:c r="AD176" s="37" t="str"/>
      <x:c r="AE176" s="37" t="str"/>
      <x:c r="AF176" s="37" t="str"/>
      <x:c r="AG176" s="16"/>
      <x:c r="AH176" s="16"/>
    </x:row>
    <x:row r="177" ht="15.75" customHeight="1">
      <x:c r="A177" s="2" t="s">
        <x:v>393</x:v>
      </x:c>
      <x:c r="B177" s="2" t="s">
        <x:v>394</x:v>
      </x:c>
      <x:c r="C177" s="3" t="e">
        <x:f>HYPERLINK("https://scan.mypinata.cloud/ipfs/bafybeih3olry3is4e4lzm7rus5l3h6zrphcal5a7ayfkhzm5oivjro2cp4/#/address/0x71448a8888E5272C9B5B9a72a336eAdF68b30FC2", "0x71448a8888E5272C9B5B9a72a336eAdF68b30FC2")</x:f>
      </x:c>
      <x:c r="D177" s="4" t="str">
        <x:f t="shared" si="10"/>
        <x:v>Atropa Dev</x:v>
      </x:c>
      <x:c r="E177" s="4" t="e">
        <x:f>HYPERLINK("https://scan.mypinata.cloud/ipfs/bafybeih3olry3is4e4lzm7rus5l3h6zrphcal5a7ayfkhzm5oivjro2cp4/#/block/19495434", "19495434")</x:f>
      </x:c>
      <x:c r="F177" s="4" t="e">
        <x:f>HYPERLINK("https://scan.mypinata.cloud/ipfs/bafybeih3olry3is4e4lzm7rus5l3h6zrphcal5a7ayfkhzm5oivjro2cp4/#/tx/0xd13d2241c65bd8ecbcda9fd37d3c624ebeeff8b6497f56070846f62a4764f967", "2024-01-31 12:39:35")</x:f>
      </x:c>
      <x:c r="G177" s="5">
        <x:v>666.0</x:v>
      </x:c>
      <x:c r="H177" s="5">
        <x:v>666.0</x:v>
      </x:c>
      <x:c r="I177" s="5">
        <x:v>666.0</x:v>
      </x:c>
      <x:c r="J177" s="5">
        <x:v>0.0</x:v>
      </x:c>
      <x:c r="K177" s="5">
        <x:v>0.0</x:v>
      </x:c>
      <x:c r="L177" s="2" t="s">
        <x:v>28</x:v>
      </x:c>
      <x:c r="M177" s="2" t="s">
        <x:v>28</x:v>
      </x:c>
      <x:c r="N177" s="2" t="e">
        <x:f>IFERROR(__xludf.DUMMYFUNCTION("IF(ISDATE(TO_DATE(L177)), MAX(0, ROUND(TODAY() - TO_DATE(L177)), 0), ""-"")"),"-")</x:f>
      </x:c>
      <x:c r="O177" s="2" t="e">
        <x:f>IFERROR(__xludf.DUMMYFUNCTION("IF(ISDATE(TO_DATE(M177)), MAX(0, ROUND(TODAY() - TO_DATE(M177)), 0), ""-"")"),"-")</x:f>
      </x:c>
      <x:c r="P177" s="2" t="s">
        <x:v>28</x:v>
      </x:c>
      <x:c r="Q177" s="2" t="s">
        <x:v>28</x:v>
      </x:c>
      <x:c r="R177" s="2" t="s">
        <x:v>28</x:v>
      </x:c>
      <x:c r="S177" s="2" t="s">
        <x:v>28</x:v>
      </x:c>
      <x:c r="T177" s="2" t="s">
        <x:v>28</x:v>
      </x:c>
      <x:c r="U177" s="2" t="s">
        <x:v>28</x:v>
      </x:c>
      <x:c r="V177" s="2" t="s">
        <x:v>28</x:v>
      </x:c>
      <x:c r="W177" s="2" t="s">
        <x:v>28</x:v>
      </x:c>
      <x:c r="X177" s="2" t="s">
        <x:v>28</x:v>
      </x:c>
      <x:c r="Y177" s="2" t="s">
        <x:v>28</x:v>
      </x:c>
      <x:c r="Z177" s="9" t="s">
        <x:v>383</x:v>
      </x:c>
      <x:c r="AA177" s="57" t="str">
        <x:v>Snapshot only — run GitHub workflow</x:v>
      </x:c>
      <x:c r="AB177" s="58" t="n">
        <x:f>IFERROR(H177/G177,"")</x:f>
        <x:v>1</x:v>
      </x:c>
      <x:c r="AC177" s="57" t="str"/>
      <x:c r="AD177" s="57" t="str"/>
      <x:c r="AE177" s="57" t="str"/>
      <x:c r="AF177" s="57" t="str"/>
      <x:c r="AG177" s="2"/>
      <x:c r="AH177" s="2"/>
    </x:row>
    <x:row r="178" ht="15.75" customHeight="1">
      <x:c r="A178" s="2" t="s">
        <x:v>395</x:v>
      </x:c>
      <x:c r="B178" s="2" t="s">
        <x:v>396</x:v>
      </x:c>
      <x:c r="C178" s="3" t="e">
        <x:f>HYPERLINK("https://scan.mypinata.cloud/ipfs/bafybeih3olry3is4e4lzm7rus5l3h6zrphcal5a7ayfkhzm5oivjro2cp4/#/address/0xCb0400D5dC95c1d59cfDde7497d4Afe06b3900c7", "0xCb0400D5dC95c1d59cfDde7497d4Afe06b3900c7")</x:f>
      </x:c>
      <x:c r="D178" s="4" t="str">
        <x:f t="shared" si="10"/>
        <x:v>Atropa Dev</x:v>
      </x:c>
      <x:c r="E178" s="4" t="e">
        <x:f>HYPERLINK("https://scan.mypinata.cloud/ipfs/bafybeih3olry3is4e4lzm7rus5l3h6zrphcal5a7ayfkhzm5oivjro2cp4/#/block/19496920", "19496920")</x:f>
      </x:c>
      <x:c r="F178" s="4" t="e">
        <x:f>HYPERLINK("https://scan.mypinata.cloud/ipfs/bafybeih3olry3is4e4lzm7rus5l3h6zrphcal5a7ayfkhzm5oivjro2cp4/#/tx/0x6e05e348803fd5ce8b253d7c60441d9564d25cc9f1bd3fd6278390bb969c8e6a", "2024-01-31 16:51:35")</x:f>
      </x:c>
      <x:c r="G178" s="5">
        <x:v>0.0</x:v>
      </x:c>
      <x:c r="H178" s="5">
        <x:v>639.0</x:v>
      </x:c>
      <x:c r="I178" s="5">
        <x:v>612.0</x:v>
      </x:c>
      <x:c r="J178" s="5">
        <x:v>6.12E17</x:v>
      </x:c>
      <x:c r="K178" s="5">
        <x:v>27.0</x:v>
      </x:c>
      <x:c r="L178" s="2" t="s">
        <x:v>28</x:v>
      </x:c>
      <x:c r="M178" s="4" t="e">
        <x:f>HYPERLINK("https://scan.mypinata.cloud/ipfs/bafybeih3olry3is4e4lzm7rus5l3h6zrphcal5a7ayfkhzm5oivjro2cp4/#/tx/0x2d1288decd6be3f1d4a242e4e38a7ba0d5197be07186c120db7e584bb2cb97ac", "2024-07-25 17:26:45")</x:f>
      </x:c>
      <x:c r="N178" s="2" t="e">
        <x:f>IFERROR(__xludf.DUMMYFUNCTION("IF(ISDATE(TO_DATE(L178)), MAX(0, ROUND(TODAY() - TO_DATE(L178)), 0), ""-"")"),"-")</x:f>
      </x:c>
      <x:c r="O178" s="2" t="e">
        <x:f>IFERROR(__xludf.DUMMYFUNCTION("IF(ISDATE(TO_DATE(M178)), MAX(0, ROUND(TODAY() - TO_DATE(M178)), 0), ""-"")"),707.0)</x:f>
      </x:c>
      <x:c r="P178" s="2" t="s">
        <x:v>28</x:v>
      </x:c>
      <x:c r="Q178" s="2" t="s">
        <x:v>28</x:v>
      </x:c>
      <x:c r="R178" s="2" t="s">
        <x:v>28</x:v>
      </x:c>
      <x:c r="S178" s="2" t="s">
        <x:v>28</x:v>
      </x:c>
      <x:c r="T178" s="2" t="s">
        <x:v>28</x:v>
      </x:c>
      <x:c r="U178" s="2" t="s">
        <x:v>28</x:v>
      </x:c>
      <x:c r="V178" s="2" t="s">
        <x:v>28</x:v>
      </x:c>
      <x:c r="W178" s="2" t="s">
        <x:v>28</x:v>
      </x:c>
      <x:c r="X178" s="2" t="s">
        <x:v>28</x:v>
      </x:c>
      <x:c r="Y178" s="2" t="s">
        <x:v>28</x:v>
      </x:c>
      <x:c r="Z178" s="9" t="s">
        <x:v>397</x:v>
      </x:c>
      <x:c r="AA178" s="57" t="str">
        <x:v>Snapshot only — run GitHub workflow</x:v>
      </x:c>
      <x:c r="AB178" s="58" t="str">
        <x:f>IFERROR(H178/G178,"")</x:f>
      </x:c>
      <x:c r="AC178" s="57" t="str"/>
      <x:c r="AD178" s="57" t="str"/>
      <x:c r="AE178" s="57" t="str"/>
      <x:c r="AF178" s="57" t="str"/>
      <x:c r="AG178" s="2"/>
      <x:c r="AH178" s="2"/>
    </x:row>
    <x:row r="179" ht="15.75" customHeight="1">
      <x:c r="A179" s="2" t="s">
        <x:v>398</x:v>
      </x:c>
      <x:c r="B179" s="2" t="s">
        <x:v>399</x:v>
      </x:c>
      <x:c r="C179" s="3" t="e">
        <x:f>HYPERLINK("https://scan.mypinata.cloud/ipfs/bafybeih3olry3is4e4lzm7rus5l3h6zrphcal5a7ayfkhzm5oivjro2cp4/#/address/0x81625Dc44101400B0329e9E590CAEe997821Fbb1", "0x81625Dc44101400B0329e9E590CAEe997821Fbb1")</x:f>
      </x:c>
      <x:c r="D179" s="4" t="str">
        <x:f t="shared" si="10"/>
        <x:v>Atropa Dev</x:v>
      </x:c>
      <x:c r="E179" s="4" t="e">
        <x:f>HYPERLINK("https://scan.mypinata.cloud/ipfs/bafybeih3olry3is4e4lzm7rus5l3h6zrphcal5a7ayfkhzm5oivjro2cp4/#/block/19523980", "19523980")</x:f>
      </x:c>
      <x:c r="F179" s="4" t="e">
        <x:f>HYPERLINK("https://scan.mypinata.cloud/ipfs/bafybeih3olry3is4e4lzm7rus5l3h6zrphcal5a7ayfkhzm5oivjro2cp4/#/tx/0xdd509f0e0ff96a18dfe9fd63e4887d1e92629fdc264b80278aeb41adfa0b6753", "2024-02-03 21:10:25")</x:f>
      </x:c>
      <x:c r="G179" s="5">
        <x:v>1.0</x:v>
      </x:c>
      <x:c r="H179" s="5">
        <x:v>1.0</x:v>
      </x:c>
      <x:c r="I179" s="5">
        <x:v>1.0</x:v>
      </x:c>
      <x:c r="J179" s="5">
        <x:v>0.0</x:v>
      </x:c>
      <x:c r="K179" s="5">
        <x:v>0.0</x:v>
      </x:c>
      <x:c r="L179" s="2" t="s">
        <x:v>28</x:v>
      </x:c>
      <x:c r="M179" s="2" t="s">
        <x:v>28</x:v>
      </x:c>
      <x:c r="N179" s="2" t="e">
        <x:f>IFERROR(__xludf.DUMMYFUNCTION("IF(ISDATE(TO_DATE(L179)), MAX(0, ROUND(TODAY() - TO_DATE(L179)), 0), ""-"")"),"-")</x:f>
      </x:c>
      <x:c r="O179" s="2" t="e">
        <x:f>IFERROR(__xludf.DUMMYFUNCTION("IF(ISDATE(TO_DATE(M179)), MAX(0, ROUND(TODAY() - TO_DATE(M179)), 0), ""-"")"),"-")</x:f>
      </x:c>
      <x:c r="P179" s="2" t="s">
        <x:v>28</x:v>
      </x:c>
      <x:c r="Q179" s="2" t="s">
        <x:v>28</x:v>
      </x:c>
      <x:c r="R179" s="2" t="s">
        <x:v>28</x:v>
      </x:c>
      <x:c r="S179" s="2" t="s">
        <x:v>28</x:v>
      </x:c>
      <x:c r="T179" s="2" t="s">
        <x:v>28</x:v>
      </x:c>
      <x:c r="U179" s="2" t="s">
        <x:v>28</x:v>
      </x:c>
      <x:c r="V179" s="2" t="s">
        <x:v>28</x:v>
      </x:c>
      <x:c r="W179" s="2" t="s">
        <x:v>28</x:v>
      </x:c>
      <x:c r="X179" s="2" t="s">
        <x:v>28</x:v>
      </x:c>
      <x:c r="Y179" s="2" t="s">
        <x:v>28</x:v>
      </x:c>
      <x:c r="Z179" s="9" t="s">
        <x:v>397</x:v>
      </x:c>
      <x:c r="AA179" s="57" t="str">
        <x:v>Snapshot only — run GitHub workflow</x:v>
      </x:c>
      <x:c r="AB179" s="58" t="n">
        <x:f>IFERROR(H179/G179,"")</x:f>
        <x:v>1</x:v>
      </x:c>
      <x:c r="AC179" s="57" t="str"/>
      <x:c r="AD179" s="57" t="str"/>
      <x:c r="AE179" s="57" t="str"/>
      <x:c r="AF179" s="57" t="str"/>
      <x:c r="AG179" s="2"/>
      <x:c r="AH179" s="2"/>
    </x:row>
    <x:row r="180" ht="15.75" customHeight="1">
      <x:c r="A180" s="2" t="s">
        <x:v>400</x:v>
      </x:c>
      <x:c r="B180" s="2" t="s">
        <x:v>401</x:v>
      </x:c>
      <x:c r="C180" s="3" t="e">
        <x:f>HYPERLINK("https://scan.mypinata.cloud/ipfs/bafybeih3olry3is4e4lzm7rus5l3h6zrphcal5a7ayfkhzm5oivjro2cp4/#/address/0x7325bB0568725Fd4b53AB75Ce021ad8FF764490d", "0x7325bB0568725Fd4b53AB75Ce021ad8FF764490d")</x:f>
      </x:c>
      <x:c r="D180" s="4" t="str">
        <x:f t="shared" si="10"/>
        <x:v>Atropa Dev</x:v>
      </x:c>
      <x:c r="E180" s="4" t="e">
        <x:f>HYPERLINK("https://scan.mypinata.cloud/ipfs/bafybeih3olry3is4e4lzm7rus5l3h6zrphcal5a7ayfkhzm5oivjro2cp4/#/block/19555545", "19555545")</x:f>
      </x:c>
      <x:c r="F180" s="4" t="e">
        <x:f>HYPERLINK("https://scan.mypinata.cloud/ipfs/bafybeih3olry3is4e4lzm7rus5l3h6zrphcal5a7ayfkhzm5oivjro2cp4/#/tx/0xb8371ac7f0938567d53981a36e0db79f48bbb0cbfd778bb2e8ca2f9017d80600", "2024-02-07 14:03:25")</x:f>
      </x:c>
      <x:c r="G180" s="5">
        <x:v>666.0</x:v>
      </x:c>
      <x:c r="H180" s="5">
        <x:v>666.0</x:v>
      </x:c>
      <x:c r="I180" s="5">
        <x:v>665.0</x:v>
      </x:c>
      <x:c r="J180" s="5">
        <x:v>0.0</x:v>
      </x:c>
      <x:c r="K180" s="5">
        <x:v>1.0</x:v>
      </x:c>
      <x:c r="L180" s="2" t="s">
        <x:v>28</x:v>
      </x:c>
      <x:c r="M180" s="4" t="e">
        <x:f>HYPERLINK("https://scan.mypinata.cloud/ipfs/bafybeih3olry3is4e4lzm7rus5l3h6zrphcal5a7ayfkhzm5oivjro2cp4/#/tx/0x440edeeacecf0c41a1c6ff2c1b05dec61817d0b767d78517e317cc4395ced736", "2024-03-15 01:52:35")</x:f>
      </x:c>
      <x:c r="N180" s="2" t="e">
        <x:f>IFERROR(__xludf.DUMMYFUNCTION("IF(ISDATE(TO_DATE(L180)), MAX(0, ROUND(TODAY() - TO_DATE(L180)), 0), ""-"")"),"-")</x:f>
      </x:c>
      <x:c r="O180" s="2" t="e">
        <x:f>IFERROR(__xludf.DUMMYFUNCTION("IF(ISDATE(TO_DATE(M180)), MAX(0, ROUND(TODAY() - TO_DATE(M180)), 0), ""-"")"),840.0)</x:f>
      </x:c>
      <x:c r="P180" s="2" t="s">
        <x:v>28</x:v>
      </x:c>
      <x:c r="Q180" s="2" t="s">
        <x:v>28</x:v>
      </x:c>
      <x:c r="R180" s="2" t="s">
        <x:v>28</x:v>
      </x:c>
      <x:c r="S180" s="2" t="s">
        <x:v>28</x:v>
      </x:c>
      <x:c r="T180" s="2" t="s">
        <x:v>28</x:v>
      </x:c>
      <x:c r="U180" s="2" t="s">
        <x:v>28</x:v>
      </x:c>
      <x:c r="V180" s="2" t="s">
        <x:v>28</x:v>
      </x:c>
      <x:c r="W180" s="2" t="s">
        <x:v>28</x:v>
      </x:c>
      <x:c r="X180" s="2" t="s">
        <x:v>28</x:v>
      </x:c>
      <x:c r="Y180" s="2" t="s">
        <x:v>28</x:v>
      </x:c>
      <x:c r="Z180" s="9" t="s">
        <x:v>402</x:v>
      </x:c>
      <x:c r="AA180" s="57" t="str">
        <x:v>Snapshot only — run GitHub workflow</x:v>
      </x:c>
      <x:c r="AB180" s="58" t="n">
        <x:f>IFERROR(H180/G180,"")</x:f>
        <x:v>1</x:v>
      </x:c>
      <x:c r="AC180" s="57" t="str"/>
      <x:c r="AD180" s="57" t="str"/>
      <x:c r="AE180" s="57" t="str"/>
      <x:c r="AF180" s="57" t="str"/>
      <x:c r="AG180" s="2"/>
      <x:c r="AH180" s="2"/>
    </x:row>
    <x:row r="181" ht="15.75" customHeight="1">
      <x:c r="A181" s="2" t="s">
        <x:v>403</x:v>
      </x:c>
      <x:c r="B181" s="2" t="s">
        <x:v>404</x:v>
      </x:c>
      <x:c r="C181" s="3" t="e">
        <x:f>HYPERLINK("https://scan.mypinata.cloud/ipfs/bafybeih3olry3is4e4lzm7rus5l3h6zrphcal5a7ayfkhzm5oivjro2cp4/#/address/0xD486088912F40e3D6f196E7CdC6ceAE68a93803f", "0xD486088912F40e3D6f196E7CdC6ceAE68a93803f")</x:f>
      </x:c>
      <x:c r="D181" s="4" t="str">
        <x:f t="shared" si="10"/>
        <x:v>Atropa Dev</x:v>
      </x:c>
      <x:c r="E181" s="4" t="e">
        <x:f>HYPERLINK("https://scan.mypinata.cloud/ipfs/bafybeih3olry3is4e4lzm7rus5l3h6zrphcal5a7ayfkhzm5oivjro2cp4/#/block/19556040", "19556040")</x:f>
      </x:c>
      <x:c r="F181" s="4" t="e">
        <x:f>HYPERLINK("https://scan.mypinata.cloud/ipfs/bafybeih3olry3is4e4lzm7rus5l3h6zrphcal5a7ayfkhzm5oivjro2cp4/#/tx/0xd9f7539bd1ea83f1a69185b1372be120a1828ba1fb39c09d13c99c3882bf1067", "2024-02-07 15:27:05")</x:f>
      </x:c>
      <x:c r="G181" s="5">
        <x:v>666.0</x:v>
      </x:c>
      <x:c r="H181" s="5">
        <x:v>666.0</x:v>
      </x:c>
      <x:c r="I181" s="5">
        <x:v>666.0</x:v>
      </x:c>
      <x:c r="J181" s="5">
        <x:v>0.0</x:v>
      </x:c>
      <x:c r="K181" s="5">
        <x:v>0.0</x:v>
      </x:c>
      <x:c r="L181" s="2" t="s">
        <x:v>28</x:v>
      </x:c>
      <x:c r="M181" s="2" t="s">
        <x:v>28</x:v>
      </x:c>
      <x:c r="N181" s="2" t="e">
        <x:f>IFERROR(__xludf.DUMMYFUNCTION("IF(ISDATE(TO_DATE(L181)), MAX(0, ROUND(TODAY() - TO_DATE(L181)), 0), ""-"")"),"-")</x:f>
      </x:c>
      <x:c r="O181" s="2" t="e">
        <x:f>IFERROR(__xludf.DUMMYFUNCTION("IF(ISDATE(TO_DATE(M181)), MAX(0, ROUND(TODAY() - TO_DATE(M181)), 0), ""-"")"),"-")</x:f>
      </x:c>
      <x:c r="P181" s="6">
        <x:v>11.55</x:v>
      </x:c>
      <x:c r="Q181" s="6">
        <x:v>292547.4896</x:v>
      </x:c>
      <x:c r="R181" s="7">
        <x:v>7692.3</x:v>
      </x:c>
      <x:c r="S181" s="7">
        <x:v>7694.0</x:v>
      </x:c>
      <x:c r="T181" s="7">
        <x:v>44.45</x:v>
      </x:c>
      <x:c r="U181" s="7">
        <x:v>186.79</x:v>
      </x:c>
      <x:c r="V181" s="2" t="s">
        <x:v>28</x:v>
      </x:c>
      <x:c r="W181" s="2" t="s">
        <x:v>28</x:v>
      </x:c>
      <x:c r="X181" s="2" t="s">
        <x:v>28</x:v>
      </x:c>
      <x:c r="Y181" s="2" t="s">
        <x:v>28</x:v>
      </x:c>
      <x:c r="Z181" s="9" t="s">
        <x:v>397</x:v>
      </x:c>
      <x:c r="AA181" s="57" t="str">
        <x:v>Snapshot only — run GitHub workflow</x:v>
      </x:c>
      <x:c r="AB181" s="58" t="n">
        <x:f>IFERROR(H181/G181,"")</x:f>
        <x:v>1</x:v>
      </x:c>
      <x:c r="AC181" s="57" t="str"/>
      <x:c r="AD181" s="57" t="str"/>
      <x:c r="AE181" s="57" t="str"/>
      <x:c r="AF181" s="57" t="str"/>
      <x:c r="AG181" s="2"/>
      <x:c r="AH181" s="2"/>
    </x:row>
    <x:row r="182" ht="15.75" customHeight="1">
      <x:c r="A182" s="2" t="s">
        <x:v>405</x:v>
      </x:c>
      <x:c r="B182" s="2" t="s">
        <x:v>406</x:v>
      </x:c>
      <x:c r="C182" s="3" t="e">
        <x:f>HYPERLINK("https://scan.mypinata.cloud/ipfs/bafybeih3olry3is4e4lzm7rus5l3h6zrphcal5a7ayfkhzm5oivjro2cp4/#/address/0xe2e1a5d691cCB9E88b84e23A1166B4e6Bd6904Dc", "0xe2e1a5d691cCB9E88b84e23A1166B4e6Bd6904Dc")</x:f>
      </x:c>
      <x:c r="D182" s="4" t="str">
        <x:f t="shared" si="10"/>
        <x:v>Atropa Dev</x:v>
      </x:c>
      <x:c r="E182" s="4" t="e">
        <x:f>HYPERLINK("https://scan.mypinata.cloud/ipfs/bafybeih3olry3is4e4lzm7rus5l3h6zrphcal5a7ayfkhzm5oivjro2cp4/#/block/19565593", "19565593")</x:f>
      </x:c>
      <x:c r="F182" s="4" t="e">
        <x:f>HYPERLINK("https://scan.mypinata.cloud/ipfs/bafybeih3olry3is4e4lzm7rus5l3h6zrphcal5a7ayfkhzm5oivjro2cp4/#/tx/0x1c969ea873386be6bfc2b08b11c28fbf7c76bcf3b24427ca1f5a908f55467e2a", "2024-02-08 18:14:55")</x:f>
      </x:c>
      <x:c r="G182" s="5">
        <x:v>5000.0</x:v>
      </x:c>
      <x:c r="H182" s="5">
        <x:v>1893.9029952117237</x:v>
      </x:c>
      <x:c r="I182" s="5">
        <x:v>1893.9029952117237</x:v>
      </x:c>
      <x:c r="J182" s="5">
        <x:v>0.0</x:v>
      </x:c>
      <x:c r="K182" s="5">
        <x:v>3106.097004788276</x:v>
      </x:c>
      <x:c r="L182" s="2" t="s">
        <x:v>28</x:v>
      </x:c>
      <x:c r="M182" s="4" t="e">
        <x:f>HYPERLINK("https://scan.mypinata.cloud/ipfs/bafybeih3olry3is4e4lzm7rus5l3h6zrphcal5a7ayfkhzm5oivjro2cp4/#/tx/0xd95d59258b7c6adc01bb6aa19ce7df64dfcad3cb5683926096d9da52bc5ac7f1", "2024-07-18 19:57:35")</x:f>
      </x:c>
      <x:c r="N182" s="2" t="e">
        <x:f>IFERROR(__xludf.DUMMYFUNCTION("IF(ISDATE(TO_DATE(L182)), MAX(0, ROUND(TODAY() - TO_DATE(L182)), 0), ""-"")"),"-")</x:f>
      </x:c>
      <x:c r="O182" s="2" t="e">
        <x:f>IFERROR(__xludf.DUMMYFUNCTION("IF(ISDATE(TO_DATE(M182)), MAX(0, ROUND(TODAY() - TO_DATE(M182)), 0), ""-"")"),714.0)</x:f>
      </x:c>
      <x:c r="P182" s="6">
        <x:v>14.73</x:v>
      </x:c>
      <x:c r="Q182" s="6">
        <x:v>372146.1385</x:v>
      </x:c>
      <x:c r="R182" s="7">
        <x:v>27897.19111946869</x:v>
      </x:c>
      <x:c r="S182" s="7">
        <x:v>27914.0</x:v>
      </x:c>
      <x:c r="T182" s="7">
        <x:v>116.03</x:v>
      </x:c>
      <x:c r="U182" s="7">
        <x:v>798.77</x:v>
      </x:c>
      <x:c r="V182" s="8" t="n">
        <x:f t="array" ref="V182">1.36%</x:f>
        <x:v>0.013600000000000001</x:v>
      </x:c>
      <x:c r="W182" s="8" t="n">
        <x:f t="array" ref="W182">2.98%</x:f>
        <x:v>0.0298</x:v>
      </x:c>
      <x:c r="X182" s="8" t="n">
        <x:f t="array" ref="X182">-6.25%</x:f>
        <x:v>-0.0625</x:v>
      </x:c>
      <x:c r="Y182" s="8" t="n">
        <x:f t="array" ref="Y182">-10.37%</x:f>
        <x:v>-0.10369999999999999</x:v>
      </x:c>
      <x:c r="Z182" s="9" t="s">
        <x:v>407</x:v>
      </x:c>
      <x:c r="AA182" s="57" t="str">
        <x:v>Snapshot only — run GitHub workflow</x:v>
      </x:c>
      <x:c r="AB182" s="58" t="n">
        <x:f>IFERROR(H182/G182,"")</x:f>
        <x:v>0.37878059904234473</x:v>
      </x:c>
      <x:c r="AC182" s="57" t="str"/>
      <x:c r="AD182" s="57" t="str"/>
      <x:c r="AE182" s="57" t="str"/>
      <x:c r="AF182" s="57" t="str"/>
      <x:c r="AG182" s="2"/>
      <x:c r="AH182" s="2"/>
    </x:row>
    <x:row r="183" ht="15.75" customHeight="1">
      <x:c r="A183" s="2" t="s">
        <x:v>408</x:v>
      </x:c>
      <x:c r="B183" s="2" t="s">
        <x:v>409</x:v>
      </x:c>
      <x:c r="C183" s="3" t="e">
        <x:f>HYPERLINK("https://scan.mypinata.cloud/ipfs/bafybeih3olry3is4e4lzm7rus5l3h6zrphcal5a7ayfkhzm5oivjro2cp4/#/address/0x502b41adabFf7A93C8D742eb2576D2871bdb2bA1", "0x502b41adabFf7A93C8D742eb2576D2871bdb2bA1")</x:f>
      </x:c>
      <x:c r="D183" s="4" t="str">
        <x:f t="shared" si="10"/>
        <x:v>Atropa Dev</x:v>
      </x:c>
      <x:c r="E183" s="4" t="e">
        <x:f>HYPERLINK("https://scan.mypinata.cloud/ipfs/bafybeih3olry3is4e4lzm7rus5l3h6zrphcal5a7ayfkhzm5oivjro2cp4/#/block/19572583", "19572583")</x:f>
      </x:c>
      <x:c r="F183" s="4" t="e">
        <x:f>HYPERLINK("https://scan.mypinata.cloud/ipfs/bafybeih3olry3is4e4lzm7rus5l3h6zrphcal5a7ayfkhzm5oivjro2cp4/#/tx/0xa82391da51bb39dc85222efa8d66a6a8b076c51eb7a1c5e41c14f27f0cc70242", "2024-02-09 13:50:35")</x:f>
      </x:c>
      <x:c r="G183" s="5">
        <x:v>666.0</x:v>
      </x:c>
      <x:c r="H183" s="5">
        <x:v>666.0</x:v>
      </x:c>
      <x:c r="I183" s="5">
        <x:v>666.0</x:v>
      </x:c>
      <x:c r="J183" s="5">
        <x:v>0.0</x:v>
      </x:c>
      <x:c r="K183" s="5">
        <x:v>0.0</x:v>
      </x:c>
      <x:c r="L183" s="2" t="s">
        <x:v>28</x:v>
      </x:c>
      <x:c r="M183" s="2" t="s">
        <x:v>28</x:v>
      </x:c>
      <x:c r="N183" s="2" t="e">
        <x:f>IFERROR(__xludf.DUMMYFUNCTION("IF(ISDATE(TO_DATE(L183)), MAX(0, ROUND(TODAY() - TO_DATE(L183)), 0), ""-"")"),"-")</x:f>
      </x:c>
      <x:c r="O183" s="2" t="e">
        <x:f>IFERROR(__xludf.DUMMYFUNCTION("IF(ISDATE(TO_DATE(M183)), MAX(0, ROUND(TODAY() - TO_DATE(M183)), 0), ""-"")"),"-")</x:f>
      </x:c>
      <x:c r="P183" s="2" t="s">
        <x:v>28</x:v>
      </x:c>
      <x:c r="Q183" s="2" t="s">
        <x:v>28</x:v>
      </x:c>
      <x:c r="R183" s="2" t="s">
        <x:v>28</x:v>
      </x:c>
      <x:c r="S183" s="2" t="s">
        <x:v>28</x:v>
      </x:c>
      <x:c r="T183" s="2" t="s">
        <x:v>28</x:v>
      </x:c>
      <x:c r="U183" s="2" t="s">
        <x:v>28</x:v>
      </x:c>
      <x:c r="V183" s="2" t="s">
        <x:v>28</x:v>
      </x:c>
      <x:c r="W183" s="2" t="s">
        <x:v>28</x:v>
      </x:c>
      <x:c r="X183" s="2" t="s">
        <x:v>28</x:v>
      </x:c>
      <x:c r="Y183" s="2" t="s">
        <x:v>28</x:v>
      </x:c>
      <x:c r="Z183" s="9" t="s">
        <x:v>410</x:v>
      </x:c>
      <x:c r="AA183" s="57" t="str">
        <x:v>Snapshot only — run GitHub workflow</x:v>
      </x:c>
      <x:c r="AB183" s="58" t="n">
        <x:f>IFERROR(H183/G183,"")</x:f>
        <x:v>1</x:v>
      </x:c>
      <x:c r="AC183" s="57" t="str"/>
      <x:c r="AD183" s="57" t="str"/>
      <x:c r="AE183" s="57" t="str"/>
      <x:c r="AF183" s="57" t="str"/>
      <x:c r="AG183" s="2"/>
      <x:c r="AH183" s="2"/>
    </x:row>
    <x:row r="184" ht="15.75" customHeight="1">
      <x:c r="A184" s="12" t="s">
        <x:v>411</x:v>
      </x:c>
      <x:c r="B184" s="12" t="s">
        <x:v>412</x:v>
      </x:c>
      <x:c r="C184" s="13" t="e">
        <x:f>HYPERLINK("https://scan.mypinata.cloud/ipfs/bafybeih3olry3is4e4lzm7rus5l3h6zrphcal5a7ayfkhzm5oivjro2cp4/#/address/0xC659Cc2cc464c85e9dc498A3DeF5dC01670C50c6", "0xC659Cc2cc464c85e9dc498A3DeF5dC01670C50c6")</x:f>
      </x:c>
      <x:c r="D184" s="14" t="str">
        <x:f t="shared" si="10"/>
        <x:v>Atropa Dev</x:v>
      </x:c>
      <x:c r="E184" s="14" t="e">
        <x:f>HYPERLINK("https://scan.mypinata.cloud/ipfs/bafybeih3olry3is4e4lzm7rus5l3h6zrphcal5a7ayfkhzm5oivjro2cp4/#/block/19572585", "19572585")</x:f>
      </x:c>
      <x:c r="F184" s="14" t="e">
        <x:f>HYPERLINK("https://scan.mypinata.cloud/ipfs/bafybeih3olry3is4e4lzm7rus5l3h6zrphcal5a7ayfkhzm5oivjro2cp4/#/tx/0x1e82b4b53f81b2206f1447df26be39eca04cdc0482102ba6b6b27f3abe3c92c9", "2024-02-09 13:50:55")</x:f>
      </x:c>
      <x:c r="G184" s="15">
        <x:v>666.0</x:v>
      </x:c>
      <x:c r="H184" s="15">
        <x:v>666.0</x:v>
      </x:c>
      <x:c r="I184" s="15">
        <x:v>666.0</x:v>
      </x:c>
      <x:c r="J184" s="15">
        <x:v>0.0</x:v>
      </x:c>
      <x:c r="K184" s="15">
        <x:v>0.0</x:v>
      </x:c>
      <x:c r="L184" s="16" t="s">
        <x:v>28</x:v>
      </x:c>
      <x:c r="M184" s="16" t="s">
        <x:v>28</x:v>
      </x:c>
      <x:c r="N184" s="16" t="e">
        <x:f>IFERROR(__xludf.DUMMYFUNCTION("IF(ISDATE(TO_DATE(L184)), MAX(0, ROUND(TODAY() - TO_DATE(L184)), 0), ""-"")"),"-")</x:f>
      </x:c>
      <x:c r="O184" s="16" t="e">
        <x:f>IFERROR(__xludf.DUMMYFUNCTION("IF(ISDATE(TO_DATE(M184)), MAX(0, ROUND(TODAY() - TO_DATE(M184)), 0), ""-"")"),"-")</x:f>
      </x:c>
      <x:c r="P184" s="16" t="s">
        <x:v>28</x:v>
      </x:c>
      <x:c r="Q184" s="16" t="s">
        <x:v>28</x:v>
      </x:c>
      <x:c r="R184" s="16" t="s">
        <x:v>28</x:v>
      </x:c>
      <x:c r="S184" s="16" t="s">
        <x:v>28</x:v>
      </x:c>
      <x:c r="T184" s="16" t="s">
        <x:v>28</x:v>
      </x:c>
      <x:c r="U184" s="16" t="s">
        <x:v>28</x:v>
      </x:c>
      <x:c r="V184" s="16" t="s">
        <x:v>28</x:v>
      </x:c>
      <x:c r="W184" s="16" t="s">
        <x:v>28</x:v>
      </x:c>
      <x:c r="X184" s="16" t="s">
        <x:v>28</x:v>
      </x:c>
      <x:c r="Y184" s="16" t="s">
        <x:v>28</x:v>
      </x:c>
      <x:c r="Z184" s="19" t="s">
        <x:v>413</x:v>
      </x:c>
      <x:c r="AA184" s="37" t="str">
        <x:v>Snapshot only — run GitHub workflow</x:v>
      </x:c>
      <x:c r="AB184" s="59" t="n">
        <x:f>IFERROR(H184/G184,"")</x:f>
        <x:v>1</x:v>
      </x:c>
      <x:c r="AC184" s="37" t="str"/>
      <x:c r="AD184" s="37" t="str"/>
      <x:c r="AE184" s="37" t="str"/>
      <x:c r="AF184" s="37" t="str"/>
      <x:c r="AG184" s="16"/>
      <x:c r="AH184" s="16"/>
    </x:row>
    <x:row r="185" ht="15.75" customHeight="1">
      <x:c r="A185" s="2" t="s">
        <x:v>414</x:v>
      </x:c>
      <x:c r="B185" s="2" t="s">
        <x:v>415</x:v>
      </x:c>
      <x:c r="C185" s="3" t="e">
        <x:f>HYPERLINK("https://scan.mypinata.cloud/ipfs/bafybeih3olry3is4e4lzm7rus5l3h6zrphcal5a7ayfkhzm5oivjro2cp4/#/address/0xE949a217809d1Fab4018E22d6810500399951dAE", "0xE949a217809d1Fab4018E22d6810500399951dAE")</x:f>
      </x:c>
      <x:c r="D185" s="4" t="str">
        <x:f t="shared" si="10"/>
        <x:v>Atropa Dev</x:v>
      </x:c>
      <x:c r="E185" s="4" t="e">
        <x:f>HYPERLINK("https://scan.mypinata.cloud/ipfs/bafybeih3olry3is4e4lzm7rus5l3h6zrphcal5a7ayfkhzm5oivjro2cp4/#/block/19581339", "19581339")</x:f>
      </x:c>
      <x:c r="F185" s="4" t="e">
        <x:f>HYPERLINK("https://scan.mypinata.cloud/ipfs/bafybeih3olry3is4e4lzm7rus5l3h6zrphcal5a7ayfkhzm5oivjro2cp4/#/tx/0x1a75eb876cdbfb8e7ccbedd86fa1ba3d71e556768fde31dea63c16dd01a977d0", "2024-02-10 14:31:05")</x:f>
      </x:c>
      <x:c r="G185" s="5">
        <x:v>8000.0</x:v>
      </x:c>
      <x:c r="H185" s="5">
        <x:v>8000.0</x:v>
      </x:c>
      <x:c r="I185" s="5">
        <x:v>8000.0</x:v>
      </x:c>
      <x:c r="J185" s="5">
        <x:v>0.0</x:v>
      </x:c>
      <x:c r="K185" s="5">
        <x:v>0.0</x:v>
      </x:c>
      <x:c r="L185" s="2" t="s">
        <x:v>28</x:v>
      </x:c>
      <x:c r="M185" s="2" t="s">
        <x:v>28</x:v>
      </x:c>
      <x:c r="N185" s="2" t="e">
        <x:f>IFERROR(__xludf.DUMMYFUNCTION("IF(ISDATE(TO_DATE(L185)), MAX(0, ROUND(TODAY() - TO_DATE(L185)), 0), ""-"")"),"-")</x:f>
      </x:c>
      <x:c r="O185" s="2" t="e">
        <x:f>IFERROR(__xludf.DUMMYFUNCTION("IF(ISDATE(TO_DATE(M185)), MAX(0, ROUND(TODAY() - TO_DATE(M185)), 0), ""-"")"),"-")</x:f>
      </x:c>
      <x:c r="P185" s="6">
        <x:v>65.16</x:v>
      </x:c>
      <x:c r="Q185" s="6">
        <x:v>1631864.06194</x:v>
      </x:c>
      <x:c r="R185" s="7">
        <x:v>521280.0</x:v>
      </x:c>
      <x:c r="S185" s="7">
        <x:v>521284.0</x:v>
      </x:c>
      <x:c r="T185" s="7">
        <x:v>703.22</x:v>
      </x:c>
      <x:c r="U185" s="7">
        <x:v>277924.22000000003</x:v>
      </x:c>
      <x:c r="V185" s="2" t="s">
        <x:v>28</x:v>
      </x:c>
      <x:c r="W185" s="2" t="s">
        <x:v>28</x:v>
      </x:c>
      <x:c r="X185" s="2" t="s">
        <x:v>28</x:v>
      </x:c>
      <x:c r="Y185" s="2" t="s">
        <x:v>28</x:v>
      </x:c>
      <x:c r="Z185" s="9" t="s">
        <x:v>416</x:v>
      </x:c>
      <x:c r="AA185" s="57" t="str">
        <x:v>Snapshot only — run GitHub workflow</x:v>
      </x:c>
      <x:c r="AB185" s="58" t="n">
        <x:f>IFERROR(H185/G185,"")</x:f>
        <x:v>1</x:v>
      </x:c>
      <x:c r="AC185" s="57" t="str"/>
      <x:c r="AD185" s="57" t="str"/>
      <x:c r="AE185" s="57" t="str"/>
      <x:c r="AF185" s="57" t="str"/>
      <x:c r="AG185" s="2"/>
      <x:c r="AH185" s="2"/>
    </x:row>
    <x:row r="186" ht="15.75" customHeight="1">
      <x:c r="A186" s="2" t="s">
        <x:v>417</x:v>
      </x:c>
      <x:c r="B186" s="2" t="s">
        <x:v>418</x:v>
      </x:c>
      <x:c r="C186" s="3" t="e">
        <x:f>HYPERLINK("https://scan.mypinata.cloud/ipfs/bafybeih3olry3is4e4lzm7rus5l3h6zrphcal5a7ayfkhzm5oivjro2cp4/#/address/0xe981Ced8B779eB052882aEDCddDe8C07C532fadc", "0xe981Ced8B779eB052882aEDCddDe8C07C532fadc")</x:f>
      </x:c>
      <x:c r="D186" s="4" t="str">
        <x:f t="shared" si="10"/>
        <x:v>Atropa Dev</x:v>
      </x:c>
      <x:c r="E186" s="4" t="e">
        <x:f>HYPERLINK("https://scan.mypinata.cloud/ipfs/bafybeih3olry3is4e4lzm7rus5l3h6zrphcal5a7ayfkhzm5oivjro2cp4/#/block/19582869", "19582869")</x:f>
      </x:c>
      <x:c r="F186" s="4" t="e">
        <x:f>HYPERLINK("https://scan.mypinata.cloud/ipfs/bafybeih3olry3is4e4lzm7rus5l3h6zrphcal5a7ayfkhzm5oivjro2cp4/#/tx/0x75c3a0d20be0be96427fd27df51bbe7f85736187bf1f92bef72372a3f18e884a", "2024-02-10 18:49:25")</x:f>
      </x:c>
      <x:c r="G186" s="5">
        <x:v>666.0</x:v>
      </x:c>
      <x:c r="H186" s="5">
        <x:v>666.0</x:v>
      </x:c>
      <x:c r="I186" s="5">
        <x:v>666.0</x:v>
      </x:c>
      <x:c r="J186" s="5">
        <x:v>0.0</x:v>
      </x:c>
      <x:c r="K186" s="5">
        <x:v>0.0</x:v>
      </x:c>
      <x:c r="L186" s="2" t="s">
        <x:v>28</x:v>
      </x:c>
      <x:c r="M186" s="2" t="s">
        <x:v>28</x:v>
      </x:c>
      <x:c r="N186" s="2" t="e">
        <x:f>IFERROR(__xludf.DUMMYFUNCTION("IF(ISDATE(TO_DATE(L186)), MAX(0, ROUND(TODAY() - TO_DATE(L186)), 0), ""-"")"),"-")</x:f>
      </x:c>
      <x:c r="O186" s="2" t="e">
        <x:f>IFERROR(__xludf.DUMMYFUNCTION("IF(ISDATE(TO_DATE(M186)), MAX(0, ROUND(TODAY() - TO_DATE(M186)), 0), ""-"")"),"-")</x:f>
      </x:c>
      <x:c r="P186" s="6">
        <x:v>4.29</x:v>
      </x:c>
      <x:c r="Q186" s="6">
        <x:v>106704.02814</x:v>
      </x:c>
      <x:c r="R186" s="7">
        <x:v>2857.14</x:v>
      </x:c>
      <x:c r="S186" s="7">
        <x:v>2860.0</x:v>
      </x:c>
      <x:c r="T186" s="7">
        <x:v>1.93</x:v>
      </x:c>
      <x:c r="U186" s="7">
        <x:v>98.78</x:v>
      </x:c>
      <x:c r="V186" s="2" t="s">
        <x:v>28</x:v>
      </x:c>
      <x:c r="W186" s="2" t="s">
        <x:v>28</x:v>
      </x:c>
      <x:c r="X186" s="2" t="s">
        <x:v>28</x:v>
      </x:c>
      <x:c r="Y186" s="2" t="s">
        <x:v>28</x:v>
      </x:c>
      <x:c r="Z186" s="9" t="s">
        <x:v>402</x:v>
      </x:c>
      <x:c r="AA186" s="57" t="str">
        <x:v>Snapshot only — run GitHub workflow</x:v>
      </x:c>
      <x:c r="AB186" s="58" t="n">
        <x:f>IFERROR(H186/G186,"")</x:f>
        <x:v>1</x:v>
      </x:c>
      <x:c r="AC186" s="57" t="str"/>
      <x:c r="AD186" s="57" t="str"/>
      <x:c r="AE186" s="57" t="str"/>
      <x:c r="AF186" s="57" t="str"/>
      <x:c r="AG186" s="2"/>
      <x:c r="AH186" s="2"/>
    </x:row>
    <x:row r="187" ht="15.75" customHeight="1">
      <x:c r="A187" s="2" t="s">
        <x:v>419</x:v>
      </x:c>
      <x:c r="B187" s="2" t="s">
        <x:v>420</x:v>
      </x:c>
      <x:c r="C187" s="3" t="e">
        <x:f>HYPERLINK("https://scan.mypinata.cloud/ipfs/bafybeih3olry3is4e4lzm7rus5l3h6zrphcal5a7ayfkhzm5oivjro2cp4/#/address/0xCD6159D0a1aaE415E0c1504E90A5d741A28afc98", "0xCD6159D0a1aaE415E0c1504E90A5d741A28afc98")</x:f>
      </x:c>
      <x:c r="D187" s="4" t="str">
        <x:f t="shared" si="10"/>
        <x:v>Atropa Dev</x:v>
      </x:c>
      <x:c r="E187" s="4" t="e">
        <x:f>HYPERLINK("https://scan.mypinata.cloud/ipfs/bafybeih3olry3is4e4lzm7rus5l3h6zrphcal5a7ayfkhzm5oivjro2cp4/#/block/19582983", "19582983")</x:f>
      </x:c>
      <x:c r="F187" s="4" t="e">
        <x:f>HYPERLINK("https://scan.mypinata.cloud/ipfs/bafybeih3olry3is4e4lzm7rus5l3h6zrphcal5a7ayfkhzm5oivjro2cp4/#/tx/0xefaa99d3e0638a7fce2e71c2eabeaae52942ce5f0b17907906712938bd8d48da", "2024-02-10 19:08:35")</x:f>
      </x:c>
      <x:c r="G187" s="5">
        <x:v>777.0</x:v>
      </x:c>
      <x:c r="H187" s="5">
        <x:v>777.0</x:v>
      </x:c>
      <x:c r="I187" s="5">
        <x:v>776.9999985094067</x:v>
      </x:c>
      <x:c r="J187" s="5">
        <x:v>0.0</x:v>
      </x:c>
      <x:c r="K187" s="5">
        <x:v>1.4905932075E-6</x:v>
      </x:c>
      <x:c r="L187" s="2" t="s">
        <x:v>28</x:v>
      </x:c>
      <x:c r="M187" s="4" t="e">
        <x:f>HYPERLINK("https://scan.mypinata.cloud/ipfs/bafybeih3olry3is4e4lzm7rus5l3h6zrphcal5a7ayfkhzm5oivjro2cp4/#/tx/0xa69f91bd5a696b279c18104e317205a052fce6f38b0f8fdb2fc58b82f0fda3e2", "2024-03-05 01:56:45")</x:f>
      </x:c>
      <x:c r="N187" s="2" t="e">
        <x:f>IFERROR(__xludf.DUMMYFUNCTION("IF(ISDATE(TO_DATE(L187)), MAX(0, ROUND(TODAY() - TO_DATE(L187)), 0), ""-"")"),"-")</x:f>
      </x:c>
      <x:c r="O187" s="2" t="e">
        <x:f>IFERROR(__xludf.DUMMYFUNCTION("IF(ISDATE(TO_DATE(M187)), MAX(0, ROUND(TODAY() - TO_DATE(M187)), 0), ""-"")"),850.0)</x:f>
      </x:c>
      <x:c r="P187" s="6">
        <x:v>3306.66</x:v>
      </x:c>
      <x:c r="Q187" s="6">
        <x:v>8.29554754041E7</x:v>
      </x:c>
      <x:c r="R187" s="7">
        <x:v>2569274.82</x:v>
      </x:c>
      <x:c r="S187" s="7">
        <x:v>2569280.0</x:v>
      </x:c>
      <x:c r="T187" s="7">
        <x:v>216.84</x:v>
      </x:c>
      <x:c r="U187" s="7">
        <x:v>4510815.19</x:v>
      </x:c>
      <x:c r="V187" s="2" t="s">
        <x:v>28</x:v>
      </x:c>
      <x:c r="W187" s="2" t="s">
        <x:v>28</x:v>
      </x:c>
      <x:c r="X187" s="2" t="s">
        <x:v>28</x:v>
      </x:c>
      <x:c r="Y187" s="2" t="s">
        <x:v>28</x:v>
      </x:c>
      <x:c r="Z187" s="9" t="s">
        <x:v>421</x:v>
      </x:c>
      <x:c r="AA187" s="57" t="str">
        <x:v>Snapshot only — run GitHub workflow</x:v>
      </x:c>
      <x:c r="AB187" s="58" t="n">
        <x:f>IFERROR(H187/G187,"")</x:f>
        <x:v>1</x:v>
      </x:c>
      <x:c r="AC187" s="57" t="str"/>
      <x:c r="AD187" s="57" t="str"/>
      <x:c r="AE187" s="57" t="str"/>
      <x:c r="AF187" s="57" t="str"/>
      <x:c r="AG187" s="2"/>
      <x:c r="AH187" s="2"/>
    </x:row>
    <x:row r="188" ht="15.75" customHeight="1">
      <x:c r="A188" s="2" t="s">
        <x:v>422</x:v>
      </x:c>
      <x:c r="B188" s="2" t="s">
        <x:v>423</x:v>
      </x:c>
      <x:c r="C188" s="3" t="e">
        <x:f>HYPERLINK("https://scan.mypinata.cloud/ipfs/bafybeih3olry3is4e4lzm7rus5l3h6zrphcal5a7ayfkhzm5oivjro2cp4/#/address/0x45101A71dE96219A70671b0D6975F92E99eff8A9", "0x45101A71dE96219A70671b0D6975F92E99eff8A9")</x:f>
      </x:c>
      <x:c r="D188" s="4" t="str">
        <x:f t="shared" si="10"/>
        <x:v>Atropa Dev</x:v>
      </x:c>
      <x:c r="E188" s="4" t="e">
        <x:f>HYPERLINK("https://scan.mypinata.cloud/ipfs/bafybeih3olry3is4e4lzm7rus5l3h6zrphcal5a7ayfkhzm5oivjro2cp4/#/block/19648384", "19648384")</x:f>
      </x:c>
      <x:c r="F188" s="4" t="e">
        <x:f>HYPERLINK("https://scan.mypinata.cloud/ipfs/bafybeih3olry3is4e4lzm7rus5l3h6zrphcal5a7ayfkhzm5oivjro2cp4/#/tx/0x02828613c0e7fa24e5a5431fad0fdce53708c3b93b77d9f2960ac9a6becd71ce", "2024-02-18 15:34:45")</x:f>
      </x:c>
      <x:c r="G188" s="5">
        <x:v>666.0</x:v>
      </x:c>
      <x:c r="H188" s="5">
        <x:v>666.0</x:v>
      </x:c>
      <x:c r="I188" s="5">
        <x:v>666.0</x:v>
      </x:c>
      <x:c r="J188" s="5">
        <x:v>0.0</x:v>
      </x:c>
      <x:c r="K188" s="5">
        <x:v>0.0</x:v>
      </x:c>
      <x:c r="L188" s="2" t="s">
        <x:v>28</x:v>
      </x:c>
      <x:c r="M188" s="2" t="s">
        <x:v>28</x:v>
      </x:c>
      <x:c r="N188" s="2" t="e">
        <x:f>IFERROR(__xludf.DUMMYFUNCTION("IF(ISDATE(TO_DATE(L188)), MAX(0, ROUND(TODAY() - TO_DATE(L188)), 0), ""-"")"),"-")</x:f>
      </x:c>
      <x:c r="O188" s="2" t="e">
        <x:f>IFERROR(__xludf.DUMMYFUNCTION("IF(ISDATE(TO_DATE(M188)), MAX(0, ROUND(TODAY() - TO_DATE(M188)), 0), ""-"")"),"-")</x:f>
      </x:c>
      <x:c r="P188" s="2" t="s">
        <x:v>28</x:v>
      </x:c>
      <x:c r="Q188" s="2" t="s">
        <x:v>28</x:v>
      </x:c>
      <x:c r="R188" s="2" t="s">
        <x:v>28</x:v>
      </x:c>
      <x:c r="S188" s="2" t="s">
        <x:v>28</x:v>
      </x:c>
      <x:c r="T188" s="2" t="s">
        <x:v>28</x:v>
      </x:c>
      <x:c r="U188" s="2" t="s">
        <x:v>28</x:v>
      </x:c>
      <x:c r="V188" s="2" t="s">
        <x:v>28</x:v>
      </x:c>
      <x:c r="W188" s="2" t="s">
        <x:v>28</x:v>
      </x:c>
      <x:c r="X188" s="2" t="s">
        <x:v>28</x:v>
      </x:c>
      <x:c r="Y188" s="2" t="s">
        <x:v>28</x:v>
      </x:c>
      <x:c r="Z188" s="9" t="s">
        <x:v>424</x:v>
      </x:c>
      <x:c r="AA188" s="57" t="str">
        <x:v>Snapshot only — run GitHub workflow</x:v>
      </x:c>
      <x:c r="AB188" s="58" t="n">
        <x:f>IFERROR(H188/G188,"")</x:f>
        <x:v>1</x:v>
      </x:c>
      <x:c r="AC188" s="57" t="str"/>
      <x:c r="AD188" s="57" t="str"/>
      <x:c r="AE188" s="57" t="str"/>
      <x:c r="AF188" s="57" t="str"/>
      <x:c r="AG188" s="2"/>
      <x:c r="AH188" s="2"/>
    </x:row>
    <x:row r="189" ht="15.75" customHeight="1">
      <x:c r="A189" s="2" t="s">
        <x:v>425</x:v>
      </x:c>
      <x:c r="B189" s="2" t="s">
        <x:v>426</x:v>
      </x:c>
      <x:c r="C189" s="3" t="e">
        <x:f>HYPERLINK("https://scan.mypinata.cloud/ipfs/bafybeih3olry3is4e4lzm7rus5l3h6zrphcal5a7ayfkhzm5oivjro2cp4/#/address/0x1F6972A02b947f959466fB16EA822f969800D144", "0x1F6972A02b947f959466fB16EA822f969800D144")</x:f>
      </x:c>
      <x:c r="D189" s="4" t="str">
        <x:f t="shared" si="10"/>
        <x:v>Atropa Dev</x:v>
      </x:c>
      <x:c r="E189" s="4" t="e">
        <x:f>HYPERLINK("https://scan.mypinata.cloud/ipfs/bafybeih3olry3is4e4lzm7rus5l3h6zrphcal5a7ayfkhzm5oivjro2cp4/#/block/19648410", "19648410")</x:f>
      </x:c>
      <x:c r="F189" s="4" t="e">
        <x:f>HYPERLINK("https://scan.mypinata.cloud/ipfs/bafybeih3olry3is4e4lzm7rus5l3h6zrphcal5a7ayfkhzm5oivjro2cp4/#/tx/0x8b9a07a2cf0bdccc92406e748041e594f2848ce774378df49dccf8a0dcdc7368", "2024-02-18 15:39:25")</x:f>
      </x:c>
      <x:c r="G189" s="5">
        <x:v>666.0</x:v>
      </x:c>
      <x:c r="H189" s="5">
        <x:v>666.0</x:v>
      </x:c>
      <x:c r="I189" s="5">
        <x:v>666.0</x:v>
      </x:c>
      <x:c r="J189" s="5">
        <x:v>0.0</x:v>
      </x:c>
      <x:c r="K189" s="5">
        <x:v>0.0</x:v>
      </x:c>
      <x:c r="L189" s="2" t="s">
        <x:v>28</x:v>
      </x:c>
      <x:c r="M189" s="2" t="s">
        <x:v>28</x:v>
      </x:c>
      <x:c r="N189" s="2" t="e">
        <x:f>IFERROR(__xludf.DUMMYFUNCTION("IF(ISDATE(TO_DATE(L189)), MAX(0, ROUND(TODAY() - TO_DATE(L189)), 0), ""-"")"),"-")</x:f>
      </x:c>
      <x:c r="O189" s="2" t="e">
        <x:f>IFERROR(__xludf.DUMMYFUNCTION("IF(ISDATE(TO_DATE(M189)), MAX(0, ROUND(TODAY() - TO_DATE(M189)), 0), ""-"")"),"-")</x:f>
      </x:c>
      <x:c r="P189" s="2" t="s">
        <x:v>28</x:v>
      </x:c>
      <x:c r="Q189" s="2" t="s">
        <x:v>28</x:v>
      </x:c>
      <x:c r="R189" s="2" t="s">
        <x:v>28</x:v>
      </x:c>
      <x:c r="S189" s="2" t="s">
        <x:v>28</x:v>
      </x:c>
      <x:c r="T189" s="2" t="s">
        <x:v>28</x:v>
      </x:c>
      <x:c r="U189" s="2" t="s">
        <x:v>28</x:v>
      </x:c>
      <x:c r="V189" s="2" t="s">
        <x:v>28</x:v>
      </x:c>
      <x:c r="W189" s="2" t="s">
        <x:v>28</x:v>
      </x:c>
      <x:c r="X189" s="2" t="s">
        <x:v>28</x:v>
      </x:c>
      <x:c r="Y189" s="2" t="s">
        <x:v>28</x:v>
      </x:c>
      <x:c r="Z189" s="9" t="s">
        <x:v>427</x:v>
      </x:c>
      <x:c r="AA189" s="57" t="str">
        <x:v>Snapshot only — run GitHub workflow</x:v>
      </x:c>
      <x:c r="AB189" s="58" t="n">
        <x:f>IFERROR(H189/G189,"")</x:f>
        <x:v>1</x:v>
      </x:c>
      <x:c r="AC189" s="57" t="str"/>
      <x:c r="AD189" s="57" t="str"/>
      <x:c r="AE189" s="57" t="str"/>
      <x:c r="AF189" s="57" t="str"/>
      <x:c r="AG189" s="2"/>
      <x:c r="AH189" s="2"/>
    </x:row>
    <x:row r="190" ht="15.75" customHeight="1">
      <x:c r="A190" s="12" t="s">
        <x:v>428</x:v>
      </x:c>
      <x:c r="B190" s="22" t="s">
        <x:v>429</x:v>
      </x:c>
      <x:c r="C190" s="13" t="e">
        <x:f>HYPERLINK("https://scan.mypinata.cloud/ipfs/bafybeih3olry3is4e4lzm7rus5l3h6zrphcal5a7ayfkhzm5oivjro2cp4/#/address/0x320252f4218271184967e090Ad000Dc4b50E51b6", "0x320252f4218271184967e090Ad000Dc4b50E51b6")</x:f>
      </x:c>
      <x:c r="D190" s="14" t="str">
        <x:f t="shared" si="10"/>
        <x:v>Atropa Dev</x:v>
      </x:c>
      <x:c r="E190" s="14" t="e">
        <x:f>HYPERLINK("https://scan.mypinata.cloud/ipfs/bafybeih3olry3is4e4lzm7rus5l3h6zrphcal5a7ayfkhzm5oivjro2cp4/#/block/19655491", "19655491")</x:f>
      </x:c>
      <x:c r="F190" s="14" t="e">
        <x:f>HYPERLINK("https://scan.mypinata.cloud/ipfs/bafybeih3olry3is4e4lzm7rus5l3h6zrphcal5a7ayfkhzm5oivjro2cp4/#/tx/0x8523e22aaa44095886ef5a8cc31863ad4e0b4008f686ec0db0b0842dac8b8b59", "2024-02-19 12:17:35")</x:f>
      </x:c>
      <x:c r="G190" s="15">
        <x:v>666.0</x:v>
      </x:c>
      <x:c r="H190" s="15">
        <x:v>666.0</x:v>
      </x:c>
      <x:c r="I190" s="15">
        <x:v>666.0</x:v>
      </x:c>
      <x:c r="J190" s="15">
        <x:v>0.0</x:v>
      </x:c>
      <x:c r="K190" s="15">
        <x:v>0.0</x:v>
      </x:c>
      <x:c r="L190" s="16" t="s">
        <x:v>28</x:v>
      </x:c>
      <x:c r="M190" s="16" t="s">
        <x:v>28</x:v>
      </x:c>
      <x:c r="N190" s="16" t="e">
        <x:f>IFERROR(__xludf.DUMMYFUNCTION("IF(ISDATE(TO_DATE(L190)), MAX(0, ROUND(TODAY() - TO_DATE(L190)), 0), ""-"")"),"-")</x:f>
      </x:c>
      <x:c r="O190" s="16" t="e">
        <x:f>IFERROR(__xludf.DUMMYFUNCTION("IF(ISDATE(TO_DATE(M190)), MAX(0, ROUND(TODAY() - TO_DATE(M190)), 0), ""-"")"),"-")</x:f>
      </x:c>
      <x:c r="P190" s="16" t="s">
        <x:v>28</x:v>
      </x:c>
      <x:c r="Q190" s="16" t="s">
        <x:v>28</x:v>
      </x:c>
      <x:c r="R190" s="16" t="s">
        <x:v>28</x:v>
      </x:c>
      <x:c r="S190" s="16" t="s">
        <x:v>28</x:v>
      </x:c>
      <x:c r="T190" s="16" t="s">
        <x:v>28</x:v>
      </x:c>
      <x:c r="U190" s="16" t="s">
        <x:v>28</x:v>
      </x:c>
      <x:c r="V190" s="16" t="s">
        <x:v>28</x:v>
      </x:c>
      <x:c r="W190" s="16" t="s">
        <x:v>28</x:v>
      </x:c>
      <x:c r="X190" s="16" t="s">
        <x:v>28</x:v>
      </x:c>
      <x:c r="Y190" s="16" t="s">
        <x:v>28</x:v>
      </x:c>
      <x:c r="Z190" s="19" t="s">
        <x:v>430</x:v>
      </x:c>
      <x:c r="AA190" s="37" t="str">
        <x:v>Snapshot only — run GitHub workflow</x:v>
      </x:c>
      <x:c r="AB190" s="59" t="n">
        <x:f>IFERROR(H190/G190,"")</x:f>
        <x:v>1</x:v>
      </x:c>
      <x:c r="AC190" s="37" t="str"/>
      <x:c r="AD190" s="37" t="str"/>
      <x:c r="AE190" s="37" t="str"/>
      <x:c r="AF190" s="37" t="str"/>
      <x:c r="AG190" s="16"/>
      <x:c r="AH190" s="16"/>
    </x:row>
    <x:row r="191" ht="15.75" customHeight="1">
      <x:c r="A191" s="12" t="s">
        <x:v>431</x:v>
      </x:c>
      <x:c r="B191" s="12" t="s">
        <x:v>432</x:v>
      </x:c>
      <x:c r="C191" s="13" t="e">
        <x:f>HYPERLINK("https://scan.mypinata.cloud/ipfs/bafybeih3olry3is4e4lzm7rus5l3h6zrphcal5a7ayfkhzm5oivjro2cp4/#/address/0x1b98fCc59Ef301F22F6Af49F3aAB9794f9D0EE74", "0x1b98fCc59Ef301F22F6Af49F3aAB9794f9D0EE74")</x:f>
      </x:c>
      <x:c r="D191" s="14" t="str">
        <x:f t="shared" si="10"/>
        <x:v>Atropa Dev</x:v>
      </x:c>
      <x:c r="E191" s="14" t="e">
        <x:f>HYPERLINK("https://scan.mypinata.cloud/ipfs/bafybeih3olry3is4e4lzm7rus5l3h6zrphcal5a7ayfkhzm5oivjro2cp4/#/block/19656612", "19656612")</x:f>
      </x:c>
      <x:c r="F191" s="14" t="e">
        <x:f>HYPERLINK("https://scan.mypinata.cloud/ipfs/bafybeih3olry3is4e4lzm7rus5l3h6zrphcal5a7ayfkhzm5oivjro2cp4/#/tx/0xa8d1c9e0d9028da1b1b74e9479daeec02c72de809838c0ab981f62566a70ab6f", "2024-02-19 15:32:35")</x:f>
      </x:c>
      <x:c r="G191" s="15">
        <x:v>666.0</x:v>
      </x:c>
      <x:c r="H191" s="15">
        <x:v>666.0</x:v>
      </x:c>
      <x:c r="I191" s="15">
        <x:v>666.0</x:v>
      </x:c>
      <x:c r="J191" s="15">
        <x:v>0.0</x:v>
      </x:c>
      <x:c r="K191" s="15">
        <x:v>0.0</x:v>
      </x:c>
      <x:c r="L191" s="16" t="s">
        <x:v>28</x:v>
      </x:c>
      <x:c r="M191" s="16" t="s">
        <x:v>28</x:v>
      </x:c>
      <x:c r="N191" s="16" t="e">
        <x:f>IFERROR(__xludf.DUMMYFUNCTION("IF(ISDATE(TO_DATE(L191)), MAX(0, ROUND(TODAY() - TO_DATE(L191)), 0), ""-"")"),"-")</x:f>
      </x:c>
      <x:c r="O191" s="16" t="e">
        <x:f>IFERROR(__xludf.DUMMYFUNCTION("IF(ISDATE(TO_DATE(M191)), MAX(0, ROUND(TODAY() - TO_DATE(M191)), 0), ""-"")"),"-")</x:f>
      </x:c>
      <x:c r="P191" s="17">
        <x:v>5.15</x:v>
      </x:c>
      <x:c r="Q191" s="17">
        <x:v>128637.6488</x:v>
      </x:c>
      <x:c r="R191" s="18">
        <x:v>3429.9</x:v>
      </x:c>
      <x:c r="S191" s="18">
        <x:v>3431.0</x:v>
      </x:c>
      <x:c r="T191" s="18">
        <x:v>1.67</x:v>
      </x:c>
      <x:c r="U191" s="18">
        <x:v>132.92</x:v>
      </x:c>
      <x:c r="V191" s="16" t="s">
        <x:v>28</x:v>
      </x:c>
      <x:c r="W191" s="16" t="s">
        <x:v>28</x:v>
      </x:c>
      <x:c r="X191" s="16" t="s">
        <x:v>28</x:v>
      </x:c>
      <x:c r="Y191" s="16" t="s">
        <x:v>28</x:v>
      </x:c>
      <x:c r="Z191" s="19" t="s">
        <x:v>433</x:v>
      </x:c>
      <x:c r="AA191" s="37" t="str">
        <x:v>Snapshot only — run GitHub workflow</x:v>
      </x:c>
      <x:c r="AB191" s="59" t="n">
        <x:f>IFERROR(H191/G191,"")</x:f>
        <x:v>1</x:v>
      </x:c>
      <x:c r="AC191" s="37" t="str"/>
      <x:c r="AD191" s="37" t="str"/>
      <x:c r="AE191" s="37" t="str"/>
      <x:c r="AF191" s="37" t="str"/>
      <x:c r="AG191" s="16"/>
      <x:c r="AH191" s="16"/>
    </x:row>
    <x:row r="192" ht="15.75" customHeight="1">
      <x:c r="A192" s="2" t="s">
        <x:v>434</x:v>
      </x:c>
      <x:c r="B192" s="2" t="s">
        <x:v>435</x:v>
      </x:c>
      <x:c r="C192" s="3" t="e">
        <x:f>HYPERLINK("https://scan.mypinata.cloud/ipfs/bafybeih3olry3is4e4lzm7rus5l3h6zrphcal5a7ayfkhzm5oivjro2cp4/#/address/0x241DA2613b0A01C2f60acB636b21A8E082E2f2F0", "0x241DA2613b0A01C2f60acB636b21A8E082E2f2F0")</x:f>
      </x:c>
      <x:c r="D192" s="4" t="e">
        <x:f>HYPERLINK("https://scan.mypinata.cloud/ipfs/bafybeih3olry3is4e4lzm7rus5l3h6zrphcal5a7ayfkhzm5oivjro2cp4/#/address/0x903030f7e2d6489F38B0f4F96F9b371ec7960F78", "Atropa Dev Alt")</x:f>
      </x:c>
      <x:c r="E192" s="4" t="e">
        <x:f>HYPERLINK("https://scan.mypinata.cloud/ipfs/bafybeih3olry3is4e4lzm7rus5l3h6zrphcal5a7ayfkhzm5oivjro2cp4/#/block/19666532", "19666532")</x:f>
      </x:c>
      <x:c r="F192" s="4" t="e">
        <x:f>HYPERLINK("https://scan.mypinata.cloud/ipfs/bafybeih3olry3is4e4lzm7rus5l3h6zrphcal5a7ayfkhzm5oivjro2cp4/#/tx/0x055951fcfd8080852758fc77f4b3f475de5f64290a54ae37615db702dc23b950", "2024-02-20 20:20:35")</x:f>
      </x:c>
      <x:c r="G192" s="5">
        <x:v>5555.0</x:v>
      </x:c>
      <x:c r="H192" s="5">
        <x:v>5555.0</x:v>
      </x:c>
      <x:c r="I192" s="5">
        <x:v>5555.0</x:v>
      </x:c>
      <x:c r="J192" s="5">
        <x:v>0.0</x:v>
      </x:c>
      <x:c r="K192" s="5">
        <x:v>0.0</x:v>
      </x:c>
      <x:c r="L192" s="2" t="s">
        <x:v>28</x:v>
      </x:c>
      <x:c r="M192" s="2" t="s">
        <x:v>28</x:v>
      </x:c>
      <x:c r="N192" s="2" t="e">
        <x:f>IFERROR(__xludf.DUMMYFUNCTION("IF(ISDATE(TO_DATE(L192)), MAX(0, ROUND(TODAY() - TO_DATE(L192)), 0), ""-"")"),"-")</x:f>
      </x:c>
      <x:c r="O192" s="2" t="e">
        <x:f>IFERROR(__xludf.DUMMYFUNCTION("IF(ISDATE(TO_DATE(M192)), MAX(0, ROUND(TODAY() - TO_DATE(M192)), 0), ""-"")"),"-")</x:f>
      </x:c>
      <x:c r="P192" s="2" t="s">
        <x:v>28</x:v>
      </x:c>
      <x:c r="Q192" s="2" t="s">
        <x:v>28</x:v>
      </x:c>
      <x:c r="R192" s="2" t="s">
        <x:v>28</x:v>
      </x:c>
      <x:c r="S192" s="2" t="s">
        <x:v>28</x:v>
      </x:c>
      <x:c r="T192" s="7">
        <x:v>8.23</x:v>
      </x:c>
      <x:c r="U192" s="7">
        <x:v>2525.7</x:v>
      </x:c>
      <x:c r="V192" s="2" t="s">
        <x:v>28</x:v>
      </x:c>
      <x:c r="W192" s="2" t="s">
        <x:v>28</x:v>
      </x:c>
      <x:c r="X192" s="2" t="s">
        <x:v>28</x:v>
      </x:c>
      <x:c r="Y192" s="2" t="s">
        <x:v>28</x:v>
      </x:c>
      <x:c r="Z192" s="9" t="s">
        <x:v>436</x:v>
      </x:c>
      <x:c r="AA192" s="57" t="str">
        <x:v>Snapshot only — run GitHub workflow</x:v>
      </x:c>
      <x:c r="AB192" s="58" t="n">
        <x:f>IFERROR(H192/G192,"")</x:f>
        <x:v>1</x:v>
      </x:c>
      <x:c r="AC192" s="57" t="str"/>
      <x:c r="AD192" s="57" t="str"/>
      <x:c r="AE192" s="57" t="str"/>
      <x:c r="AF192" s="57" t="str"/>
      <x:c r="AG192" s="2"/>
      <x:c r="AH192" s="2"/>
    </x:row>
    <x:row r="193" ht="15.75" customHeight="1">
      <x:c r="A193" s="2" t="s">
        <x:v>437</x:v>
      </x:c>
      <x:c r="B193" s="2" t="s">
        <x:v>438</x:v>
      </x:c>
      <x:c r="C193" s="3" t="e">
        <x:f>HYPERLINK("https://scan.mypinata.cloud/ipfs/bafybeih3olry3is4e4lzm7rus5l3h6zrphcal5a7ayfkhzm5oivjro2cp4/#/address/0x8B16115fF716b4c52706122cb4e974f7a72E5Af1", "0x8B16115fF716b4c52706122cb4e974f7a72E5Af1")</x:f>
      </x:c>
      <x:c r="D193" s="4" t="e">
        <x:f t="shared" ref="D193:D211" si="12">HYPERLINK("https://scan.mypinata.cloud/ipfs/bafybeih3olry3is4e4lzm7rus5l3h6zrphcal5a7ayfkhzm5oivjro2cp4/#/address/0x7a20189B297343CF26d8548764b04891f37F3414", "Atropa Dev")</x:f>
      </x:c>
      <x:c r="E193" s="4" t="e">
        <x:f>HYPERLINK("https://scan.mypinata.cloud/ipfs/bafybeih3olry3is4e4lzm7rus5l3h6zrphcal5a7ayfkhzm5oivjro2cp4/#/block/19673941", "19673941")</x:f>
      </x:c>
      <x:c r="F193" s="4" t="e">
        <x:f>HYPERLINK("https://scan.mypinata.cloud/ipfs/bafybeih3olry3is4e4lzm7rus5l3h6zrphcal5a7ayfkhzm5oivjro2cp4/#/tx/0x380f777b1903ca34588df807b6f25f32ee2472665c4240141647a5172e3af6f4", "2024-02-21 17:53:15")</x:f>
      </x:c>
      <x:c r="G193" s="5">
        <x:v>1.0</x:v>
      </x:c>
      <x:c r="H193" s="5">
        <x:v>23.0</x:v>
      </x:c>
      <x:c r="I193" s="5">
        <x:v>23.0</x:v>
      </x:c>
      <x:c r="J193" s="5">
        <x:v>22.0</x:v>
      </x:c>
      <x:c r="K193" s="5">
        <x:v>0.0</x:v>
      </x:c>
      <x:c r="L193" s="4" t="e">
        <x:f>HYPERLINK("https://scan.mypinata.cloud/ipfs/bafybeih3olry3is4e4lzm7rus5l3h6zrphcal5a7ayfkhzm5oivjro2cp4/#/tx/0x70c61dfa96773c1b503fef57991fe859a564992712b06d4451393950c7285d72", "2024-11-29 20:49:35")</x:f>
      </x:c>
      <x:c r="M193" s="2" t="s">
        <x:v>28</x:v>
      </x:c>
      <x:c r="N193" s="2" t="e">
        <x:f>IFERROR(__xludf.DUMMYFUNCTION("IF(ISDATE(TO_DATE(L193)), MAX(0, ROUND(TODAY() - TO_DATE(L193)), 0), ""-"")"),580.0)</x:f>
      </x:c>
      <x:c r="O193" s="2" t="e">
        <x:f>IFERROR(__xludf.DUMMYFUNCTION("IF(ISDATE(TO_DATE(M193)), MAX(0, ROUND(TODAY() - TO_DATE(M193)), 0), ""-"")"),"-")</x:f>
      </x:c>
      <x:c r="P193" s="6">
        <x:v>706.52</x:v>
      </x:c>
      <x:c r="Q193" s="6">
        <x:v>1.75530710264E7</x:v>
      </x:c>
      <x:c r="R193" s="7">
        <x:v>16249.96</x:v>
      </x:c>
      <x:c r="S193" s="7">
        <x:v>16250.0</x:v>
      </x:c>
      <x:c r="T193" s="7">
        <x:v>70.77000000000001</x:v>
      </x:c>
      <x:c r="U193" s="7">
        <x:v>9471.67</x:v>
      </x:c>
      <x:c r="V193" s="2" t="s">
        <x:v>28</x:v>
      </x:c>
      <x:c r="W193" s="2" t="s">
        <x:v>28</x:v>
      </x:c>
      <x:c r="X193" s="2" t="s">
        <x:v>28</x:v>
      </x:c>
      <x:c r="Y193" s="2" t="s">
        <x:v>28</x:v>
      </x:c>
      <x:c r="Z193" s="9" t="s">
        <x:v>416</x:v>
      </x:c>
      <x:c r="AA193" s="57" t="str">
        <x:v>Snapshot only — run GitHub workflow</x:v>
      </x:c>
      <x:c r="AB193" s="58" t="n">
        <x:f>IFERROR(H193/G193,"")</x:f>
        <x:v>23</x:v>
      </x:c>
      <x:c r="AC193" s="57" t="str"/>
      <x:c r="AD193" s="57" t="str"/>
      <x:c r="AE193" s="57" t="str"/>
      <x:c r="AF193" s="57" t="str"/>
      <x:c r="AG193" s="2"/>
      <x:c r="AH193" s="2"/>
    </x:row>
    <x:row r="194" ht="15.75" customHeight="1">
      <x:c r="A194" s="12" t="s">
        <x:v>439</x:v>
      </x:c>
      <x:c r="B194" s="12" t="s">
        <x:v>440</x:v>
      </x:c>
      <x:c r="C194" s="13" t="e">
        <x:f>HYPERLINK("https://scan.mypinata.cloud/ipfs/bafybeih3olry3is4e4lzm7rus5l3h6zrphcal5a7ayfkhzm5oivjro2cp4/#/address/0x33F3355727E4F00D6422BF0a7BdE6036FDF48bB5", "0x33F3355727E4F00D6422BF0a7BdE6036FDF48bB5")</x:f>
      </x:c>
      <x:c r="D194" s="14" t="str">
        <x:f t="shared" si="12"/>
        <x:v>Atropa Dev</x:v>
      </x:c>
      <x:c r="E194" s="14" t="e">
        <x:f>HYPERLINK("https://scan.mypinata.cloud/ipfs/bafybeih3olry3is4e4lzm7rus5l3h6zrphcal5a7ayfkhzm5oivjro2cp4/#/block/19813103", "19813103")</x:f>
      </x:c>
      <x:c r="F194" s="14" t="e">
        <x:f>HYPERLINK("https://scan.mypinata.cloud/ipfs/bafybeih3olry3is4e4lzm7rus5l3h6zrphcal5a7ayfkhzm5oivjro2cp4/#/tx/0x7f8e6215654f41223b54bf4461bba31aa96104117b5fe3179a74b4d3ad0fcc5f", "2024-03-09 14:53:05")</x:f>
      </x:c>
      <x:c r="G194" s="15">
        <x:v>666.0</x:v>
      </x:c>
      <x:c r="H194" s="15">
        <x:v>666.0</x:v>
      </x:c>
      <x:c r="I194" s="15">
        <x:v>666.0</x:v>
      </x:c>
      <x:c r="J194" s="15">
        <x:v>0.0</x:v>
      </x:c>
      <x:c r="K194" s="15">
        <x:v>0.0</x:v>
      </x:c>
      <x:c r="L194" s="16" t="s">
        <x:v>28</x:v>
      </x:c>
      <x:c r="M194" s="16" t="s">
        <x:v>28</x:v>
      </x:c>
      <x:c r="N194" s="16" t="e">
        <x:f>IFERROR(__xludf.DUMMYFUNCTION("IF(ISDATE(TO_DATE(L194)), MAX(0, ROUND(TODAY() - TO_DATE(L194)), 0), ""-"")"),"-")</x:f>
      </x:c>
      <x:c r="O194" s="16" t="e">
        <x:f>IFERROR(__xludf.DUMMYFUNCTION("IF(ISDATE(TO_DATE(M194)), MAX(0, ROUND(TODAY() - TO_DATE(M194)), 0), ""-"")"),"-")</x:f>
      </x:c>
      <x:c r="P194" s="16" t="s">
        <x:v>28</x:v>
      </x:c>
      <x:c r="Q194" s="16" t="s">
        <x:v>28</x:v>
      </x:c>
      <x:c r="R194" s="16" t="s">
        <x:v>28</x:v>
      </x:c>
      <x:c r="S194" s="16" t="s">
        <x:v>28</x:v>
      </x:c>
      <x:c r="T194" s="16" t="s">
        <x:v>28</x:v>
      </x:c>
      <x:c r="U194" s="16" t="s">
        <x:v>28</x:v>
      </x:c>
      <x:c r="V194" s="16" t="s">
        <x:v>28</x:v>
      </x:c>
      <x:c r="W194" s="16" t="s">
        <x:v>28</x:v>
      </x:c>
      <x:c r="X194" s="16" t="s">
        <x:v>28</x:v>
      </x:c>
      <x:c r="Y194" s="16" t="s">
        <x:v>28</x:v>
      </x:c>
      <x:c r="Z194" s="19" t="s">
        <x:v>441</x:v>
      </x:c>
      <x:c r="AA194" s="37" t="str">
        <x:v>Snapshot only — run GitHub workflow</x:v>
      </x:c>
      <x:c r="AB194" s="59" t="n">
        <x:f>IFERROR(H194/G194,"")</x:f>
        <x:v>1</x:v>
      </x:c>
      <x:c r="AC194" s="37" t="str"/>
      <x:c r="AD194" s="37" t="str"/>
      <x:c r="AE194" s="37" t="str"/>
      <x:c r="AF194" s="37" t="str"/>
      <x:c r="AG194" s="16"/>
      <x:c r="AH194" s="16"/>
    </x:row>
    <x:row r="195" ht="15.75" customHeight="1">
      <x:c r="A195" s="12" t="s">
        <x:v>442</x:v>
      </x:c>
      <x:c r="B195" s="12" t="s">
        <x:v>443</x:v>
      </x:c>
      <x:c r="C195" s="13" t="e">
        <x:f>HYPERLINK("https://scan.mypinata.cloud/ipfs/bafybeih3olry3is4e4lzm7rus5l3h6zrphcal5a7ayfkhzm5oivjro2cp4/#/address/0x2234da59c2D5EDB197594C95dbbA7a99Bcd91230", "0x2234da59c2D5EDB197594C95dbbA7a99Bcd91230")</x:f>
      </x:c>
      <x:c r="D195" s="14" t="str">
        <x:f t="shared" si="12"/>
        <x:v>Atropa Dev</x:v>
      </x:c>
      <x:c r="E195" s="14" t="e">
        <x:f>HYPERLINK("https://scan.mypinata.cloud/ipfs/bafybeih3olry3is4e4lzm7rus5l3h6zrphcal5a7ayfkhzm5oivjro2cp4/#/block/19845742", "19845742")</x:f>
      </x:c>
      <x:c r="F195" s="14" t="e">
        <x:f>HYPERLINK("https://scan.mypinata.cloud/ipfs/bafybeih3olry3is4e4lzm7rus5l3h6zrphcal5a7ayfkhzm5oivjro2cp4/#/tx/0xbb66ccfe799cd5a047b3e07378a573e1145eb57fb3edf2fa5875f7616b3b86e4", "2024-03-13 12:42:45")</x:f>
      </x:c>
      <x:c r="G195" s="15">
        <x:v>666.0</x:v>
      </x:c>
      <x:c r="H195" s="15">
        <x:v>666.0</x:v>
      </x:c>
      <x:c r="I195" s="15">
        <x:v>666.0</x:v>
      </x:c>
      <x:c r="J195" s="15">
        <x:v>0.0</x:v>
      </x:c>
      <x:c r="K195" s="15">
        <x:v>0.0</x:v>
      </x:c>
      <x:c r="L195" s="16" t="s">
        <x:v>28</x:v>
      </x:c>
      <x:c r="M195" s="16" t="s">
        <x:v>28</x:v>
      </x:c>
      <x:c r="N195" s="16" t="e">
        <x:f>IFERROR(__xludf.DUMMYFUNCTION("IF(ISDATE(TO_DATE(L195)), MAX(0, ROUND(TODAY() - TO_DATE(L195)), 0), ""-"")"),"-")</x:f>
      </x:c>
      <x:c r="O195" s="16" t="e">
        <x:f>IFERROR(__xludf.DUMMYFUNCTION("IF(ISDATE(TO_DATE(M195)), MAX(0, ROUND(TODAY() - TO_DATE(M195)), 0), ""-"")"),"-")</x:f>
      </x:c>
      <x:c r="P195" s="16" t="s">
        <x:v>28</x:v>
      </x:c>
      <x:c r="Q195" s="16" t="s">
        <x:v>28</x:v>
      </x:c>
      <x:c r="R195" s="16" t="s">
        <x:v>28</x:v>
      </x:c>
      <x:c r="S195" s="16" t="s">
        <x:v>28</x:v>
      </x:c>
      <x:c r="T195" s="18">
        <x:v>273.98</x:v>
      </x:c>
      <x:c r="U195" s="18">
        <x:v>8295.26</x:v>
      </x:c>
      <x:c r="V195" s="16" t="s">
        <x:v>28</x:v>
      </x:c>
      <x:c r="W195" s="16" t="s">
        <x:v>28</x:v>
      </x:c>
      <x:c r="X195" s="16" t="s">
        <x:v>28</x:v>
      </x:c>
      <x:c r="Y195" s="16" t="s">
        <x:v>28</x:v>
      </x:c>
      <x:c r="Z195" s="19" t="s">
        <x:v>416</x:v>
      </x:c>
      <x:c r="AA195" s="37" t="str">
        <x:v>Snapshot only — run GitHub workflow</x:v>
      </x:c>
      <x:c r="AB195" s="59" t="n">
        <x:f>IFERROR(H195/G195,"")</x:f>
        <x:v>1</x:v>
      </x:c>
      <x:c r="AC195" s="37" t="str"/>
      <x:c r="AD195" s="37" t="str"/>
      <x:c r="AE195" s="37" t="str"/>
      <x:c r="AF195" s="37" t="str"/>
      <x:c r="AG195" s="16"/>
      <x:c r="AH195" s="16"/>
    </x:row>
    <x:row r="196" ht="15.75" customHeight="1">
      <x:c r="A196" s="2" t="s">
        <x:v>444</x:v>
      </x:c>
      <x:c r="B196" s="2" t="s">
        <x:v>445</x:v>
      </x:c>
      <x:c r="C196" s="3" t="e">
        <x:f>HYPERLINK("https://scan.mypinata.cloud/ipfs/bafybeih3olry3is4e4lzm7rus5l3h6zrphcal5a7ayfkhzm5oivjro2cp4/#/address/0x07f7dDC83678EcB76C9C4Df1a80eBD2Fc39bb654", "0x07f7dDC83678EcB76C9C4Df1a80eBD2Fc39bb654")</x:f>
      </x:c>
      <x:c r="D196" s="4" t="str">
        <x:f t="shared" si="12"/>
        <x:v>Atropa Dev</x:v>
      </x:c>
      <x:c r="E196" s="4" t="e">
        <x:f>HYPERLINK("https://scan.mypinata.cloud/ipfs/bafybeih3olry3is4e4lzm7rus5l3h6zrphcal5a7ayfkhzm5oivjro2cp4/#/block/19855968", "19855968")</x:f>
      </x:c>
      <x:c r="F196" s="4" t="e">
        <x:f>HYPERLINK("https://scan.mypinata.cloud/ipfs/bafybeih3olry3is4e4lzm7rus5l3h6zrphcal5a7ayfkhzm5oivjro2cp4/#/tx/0x588c1034bd0d88c1e0f70369ca43b0486f72550c971ee31dadd7e4a796621452", "2024-03-14 17:25:15")</x:f>
      </x:c>
      <x:c r="G196" s="5">
        <x:v>313.0</x:v>
      </x:c>
      <x:c r="H196" s="5">
        <x:v>0.0</x:v>
      </x:c>
      <x:c r="I196" s="5">
        <x:v>0.0</x:v>
      </x:c>
      <x:c r="J196" s="5">
        <x:v>0.0</x:v>
      </x:c>
      <x:c r="K196" s="5">
        <x:v>313.0</x:v>
      </x:c>
      <x:c r="L196" s="2" t="s">
        <x:v>28</x:v>
      </x:c>
      <x:c r="M196" s="4" t="e">
        <x:f>HYPERLINK("https://scan.mypinata.cloud/ipfs/bafybeih3olry3is4e4lzm7rus5l3h6zrphcal5a7ayfkhzm5oivjro2cp4/#/tx/0x7294a4cc360c479b9867f3927159de9deafec5d20bf2023ad932ecea0f9a13f0", "2024-03-14 17:34:05")</x:f>
      </x:c>
      <x:c r="N196" s="2" t="e">
        <x:f>IFERROR(__xludf.DUMMYFUNCTION("IF(ISDATE(TO_DATE(L196)), MAX(0, ROUND(TODAY() - TO_DATE(L196)), 0), ""-"")"),"-")</x:f>
      </x:c>
      <x:c r="O196" s="2" t="e">
        <x:f>IFERROR(__xludf.DUMMYFUNCTION("IF(ISDATE(TO_DATE(M196)), MAX(0, ROUND(TODAY() - TO_DATE(M196)), 0), ""-"")"),840.0)</x:f>
      </x:c>
      <x:c r="P196" s="2" t="s">
        <x:v>28</x:v>
      </x:c>
      <x:c r="Q196" s="2" t="s">
        <x:v>28</x:v>
      </x:c>
      <x:c r="R196" s="2" t="s">
        <x:v>28</x:v>
      </x:c>
      <x:c r="S196" s="2" t="s">
        <x:v>28</x:v>
      </x:c>
      <x:c r="T196" s="2" t="s">
        <x:v>28</x:v>
      </x:c>
      <x:c r="U196" s="2" t="s">
        <x:v>28</x:v>
      </x:c>
      <x:c r="V196" s="2" t="s">
        <x:v>28</x:v>
      </x:c>
      <x:c r="W196" s="2" t="s">
        <x:v>28</x:v>
      </x:c>
      <x:c r="X196" s="2" t="s">
        <x:v>28</x:v>
      </x:c>
      <x:c r="Y196" s="2" t="s">
        <x:v>28</x:v>
      </x:c>
      <x:c r="Z196" s="9" t="s">
        <x:v>416</x:v>
      </x:c>
      <x:c r="AA196" s="57" t="str">
        <x:v>Snapshot only — run GitHub workflow</x:v>
      </x:c>
      <x:c r="AB196" s="58" t="n">
        <x:f>IFERROR(H196/G196,"")</x:f>
        <x:v>0</x:v>
      </x:c>
      <x:c r="AC196" s="57" t="str"/>
      <x:c r="AD196" s="57" t="str"/>
      <x:c r="AE196" s="57" t="str"/>
      <x:c r="AF196" s="57" t="str"/>
      <x:c r="AG196" s="2"/>
      <x:c r="AH196" s="2"/>
    </x:row>
    <x:row r="197" ht="15.75" customHeight="1">
      <x:c r="A197" s="2" t="s">
        <x:v>444</x:v>
      </x:c>
      <x:c r="B197" s="2" t="s">
        <x:v>445</x:v>
      </x:c>
      <x:c r="C197" s="3" t="e">
        <x:f>HYPERLINK("https://scan.mypinata.cloud/ipfs/bafybeih3olry3is4e4lzm7rus5l3h6zrphcal5a7ayfkhzm5oivjro2cp4/#/address/0xd4554A12470050353A0865BFA9051372Ccb1038F", "0xd4554A12470050353A0865BFA9051372Ccb1038F")</x:f>
      </x:c>
      <x:c r="D197" s="4" t="str">
        <x:f t="shared" si="12"/>
        <x:v>Atropa Dev</x:v>
      </x:c>
      <x:c r="E197" s="4" t="e">
        <x:f>HYPERLINK("https://scan.mypinata.cloud/ipfs/bafybeih3olry3is4e4lzm7rus5l3h6zrphcal5a7ayfkhzm5oivjro2cp4/#/block/19856088", "19856088")</x:f>
      </x:c>
      <x:c r="F197" s="4" t="e">
        <x:f>HYPERLINK("https://scan.mypinata.cloud/ipfs/bafybeih3olry3is4e4lzm7rus5l3h6zrphcal5a7ayfkhzm5oivjro2cp4/#/tx/0xe707e0dce8a531e77ee25507e71bf9dc94ad62945c81305ea34f91290f1bf518", "2024-03-14 17:45:25")</x:f>
      </x:c>
      <x:c r="G197" s="5">
        <x:v>131.0</x:v>
      </x:c>
      <x:c r="H197" s="5">
        <x:v>2.0049710805026533</x:v>
      </x:c>
      <x:c r="I197" s="5">
        <x:v>2.0049710805026533</x:v>
      </x:c>
      <x:c r="J197" s="5">
        <x:v>0.0</x:v>
      </x:c>
      <x:c r="K197" s="5">
        <x:v>128.99502891949734</x:v>
      </x:c>
      <x:c r="L197" s="2" t="s">
        <x:v>28</x:v>
      </x:c>
      <x:c r="M197" s="4" t="e">
        <x:f>HYPERLINK("https://scan.mypinata.cloud/ipfs/bafybeih3olry3is4e4lzm7rus5l3h6zrphcal5a7ayfkhzm5oivjro2cp4/#/tx/0xed0007c5cda103831e55d3e7d7363a738be100fe7d23eab02f9daf6ac7ad1f90", "2024-03-14 17:51:35")</x:f>
      </x:c>
      <x:c r="N197" s="2" t="e">
        <x:f>IFERROR(__xludf.DUMMYFUNCTION("IF(ISDATE(TO_DATE(L197)), MAX(0, ROUND(TODAY() - TO_DATE(L197)), 0), ""-"")"),"-")</x:f>
      </x:c>
      <x:c r="O197" s="2" t="e">
        <x:f>IFERROR(__xludf.DUMMYFUNCTION("IF(ISDATE(TO_DATE(M197)), MAX(0, ROUND(TODAY() - TO_DATE(M197)), 0), ""-"")"),840.0)</x:f>
      </x:c>
      <x:c r="P197" s="2" t="s">
        <x:v>28</x:v>
      </x:c>
      <x:c r="Q197" s="2" t="s">
        <x:v>28</x:v>
      </x:c>
      <x:c r="R197" s="2" t="s">
        <x:v>28</x:v>
      </x:c>
      <x:c r="S197" s="2" t="s">
        <x:v>28</x:v>
      </x:c>
      <x:c r="T197" s="2" t="s">
        <x:v>28</x:v>
      </x:c>
      <x:c r="U197" s="2" t="s">
        <x:v>28</x:v>
      </x:c>
      <x:c r="V197" s="2" t="s">
        <x:v>28</x:v>
      </x:c>
      <x:c r="W197" s="2" t="s">
        <x:v>28</x:v>
      </x:c>
      <x:c r="X197" s="2" t="s">
        <x:v>28</x:v>
      </x:c>
      <x:c r="Y197" s="2" t="s">
        <x:v>28</x:v>
      </x:c>
      <x:c r="Z197" s="9" t="s">
        <x:v>446</x:v>
      </x:c>
      <x:c r="AA197" s="57" t="str">
        <x:v>Snapshot only — run GitHub workflow</x:v>
      </x:c>
      <x:c r="AB197" s="58" t="n">
        <x:f>IFERROR(H197/G197,"")</x:f>
        <x:v>0.01530512275192865</x:v>
      </x:c>
      <x:c r="AC197" s="57" t="str"/>
      <x:c r="AD197" s="57" t="str"/>
      <x:c r="AE197" s="57" t="str"/>
      <x:c r="AF197" s="57" t="str"/>
      <x:c r="AG197" s="2"/>
      <x:c r="AH197" s="2"/>
    </x:row>
    <x:row r="198" ht="15.75" customHeight="1">
      <x:c r="A198" s="2" t="s">
        <x:v>444</x:v>
      </x:c>
      <x:c r="B198" s="2" t="s">
        <x:v>445</x:v>
      </x:c>
      <x:c r="C198" s="3" t="e">
        <x:f>HYPERLINK("https://scan.mypinata.cloud/ipfs/bafybeih3olry3is4e4lzm7rus5l3h6zrphcal5a7ayfkhzm5oivjro2cp4/#/address/0x054d43EF7c9cCF5b8ebf5e7120B32Ff6B429CC05", "0x054d43EF7c9cCF5b8ebf5e7120B32Ff6B429CC05")</x:f>
      </x:c>
      <x:c r="D198" s="4" t="str">
        <x:f t="shared" si="12"/>
        <x:v>Atropa Dev</x:v>
      </x:c>
      <x:c r="E198" s="4" t="e">
        <x:f>HYPERLINK("https://scan.mypinata.cloud/ipfs/bafybeih3olry3is4e4lzm7rus5l3h6zrphcal5a7ayfkhzm5oivjro2cp4/#/block/19856165", "19856165")</x:f>
      </x:c>
      <x:c r="F198" s="4" t="e">
        <x:f>HYPERLINK("https://scan.mypinata.cloud/ipfs/bafybeih3olry3is4e4lzm7rus5l3h6zrphcal5a7ayfkhzm5oivjro2cp4/#/tx/0x321a2ce7c7478fcb630e6ac6abfd96177bd15491d85166cd0a38791f44002c5c", "2024-03-14 17:58:15")</x:f>
      </x:c>
      <x:c r="G198" s="5">
        <x:v>112.0</x:v>
      </x:c>
      <x:c r="H198" s="5">
        <x:v>1.4548527899448984</x:v>
      </x:c>
      <x:c r="I198" s="5">
        <x:v>1.4548527899448984</x:v>
      </x:c>
      <x:c r="J198" s="5">
        <x:v>0.0</x:v>
      </x:c>
      <x:c r="K198" s="5">
        <x:v>110.5451472100551</x:v>
      </x:c>
      <x:c r="L198" s="2" t="s">
        <x:v>28</x:v>
      </x:c>
      <x:c r="M198" s="4" t="e">
        <x:f>HYPERLINK("https://scan.mypinata.cloud/ipfs/bafybeih3olry3is4e4lzm7rus5l3h6zrphcal5a7ayfkhzm5oivjro2cp4/#/tx/0xa03856fa0cedb3f75afb3ef84de1df43d4be0d07ede6dc04032e1210db1b767c", "2024-03-14 18:04:45")</x:f>
      </x:c>
      <x:c r="N198" s="2" t="e">
        <x:f>IFERROR(__xludf.DUMMYFUNCTION("IF(ISDATE(TO_DATE(L198)), MAX(0, ROUND(TODAY() - TO_DATE(L198)), 0), ""-"")"),"-")</x:f>
      </x:c>
      <x:c r="O198" s="2" t="e">
        <x:f>IFERROR(__xludf.DUMMYFUNCTION("IF(ISDATE(TO_DATE(M198)), MAX(0, ROUND(TODAY() - TO_DATE(M198)), 0), ""-"")"),840.0)</x:f>
      </x:c>
      <x:c r="P198" s="2" t="s">
        <x:v>28</x:v>
      </x:c>
      <x:c r="Q198" s="2" t="s">
        <x:v>28</x:v>
      </x:c>
      <x:c r="R198" s="2" t="s">
        <x:v>28</x:v>
      </x:c>
      <x:c r="S198" s="2" t="s">
        <x:v>28</x:v>
      </x:c>
      <x:c r="T198" s="2" t="s">
        <x:v>28</x:v>
      </x:c>
      <x:c r="U198" s="2" t="s">
        <x:v>28</x:v>
      </x:c>
      <x:c r="V198" s="2" t="s">
        <x:v>28</x:v>
      </x:c>
      <x:c r="W198" s="2" t="s">
        <x:v>28</x:v>
      </x:c>
      <x:c r="X198" s="2" t="s">
        <x:v>28</x:v>
      </x:c>
      <x:c r="Y198" s="2" t="s">
        <x:v>28</x:v>
      </x:c>
      <x:c r="Z198" s="9" t="s">
        <x:v>446</x:v>
      </x:c>
      <x:c r="AA198" s="57" t="str">
        <x:v>Snapshot only — run GitHub workflow</x:v>
      </x:c>
      <x:c r="AB198" s="58" t="n">
        <x:f>IFERROR(H198/G198,"")</x:f>
        <x:v>0.01298975705307945</x:v>
      </x:c>
      <x:c r="AC198" s="57" t="str"/>
      <x:c r="AD198" s="57" t="str"/>
      <x:c r="AE198" s="57" t="str"/>
      <x:c r="AF198" s="57" t="str"/>
      <x:c r="AG198" s="2"/>
      <x:c r="AH198" s="2"/>
    </x:row>
    <x:row r="199" ht="15.75" customHeight="1">
      <x:c r="A199" s="2" t="s">
        <x:v>444</x:v>
      </x:c>
      <x:c r="B199" s="2" t="s">
        <x:v>445</x:v>
      </x:c>
      <x:c r="C199" s="3" t="e">
        <x:f>HYPERLINK("https://scan.mypinata.cloud/ipfs/bafybeih3olry3is4e4lzm7rus5l3h6zrphcal5a7ayfkhzm5oivjro2cp4/#/address/0x7181D563D8F06613B645EbA433751bf791A288E4", "0x7181D563D8F06613B645EbA433751bf791A288E4")</x:f>
      </x:c>
      <x:c r="D199" s="4" t="str">
        <x:f t="shared" si="12"/>
        <x:v>Atropa Dev</x:v>
      </x:c>
      <x:c r="E199" s="4" t="e">
        <x:f>HYPERLINK("https://scan.mypinata.cloud/ipfs/bafybeih3olry3is4e4lzm7rus5l3h6zrphcal5a7ayfkhzm5oivjro2cp4/#/block/19856222", "19856222")</x:f>
      </x:c>
      <x:c r="F199" s="4" t="e">
        <x:f>HYPERLINK("https://scan.mypinata.cloud/ipfs/bafybeih3olry3is4e4lzm7rus5l3h6zrphcal5a7ayfkhzm5oivjro2cp4/#/tx/0x8219c0702df017f8c3f508749f71f4fd9f3bfe70fd2e35f397a5ac128ba0a93b", "2024-03-14 18:07:55")</x:f>
      </x:c>
      <x:c r="G199" s="5">
        <x:v>100.0</x:v>
      </x:c>
      <x:c r="H199" s="5">
        <x:v>0.1490342220152009</x:v>
      </x:c>
      <x:c r="I199" s="5">
        <x:v>0.1490342220152009</x:v>
      </x:c>
      <x:c r="J199" s="5">
        <x:v>0.0</x:v>
      </x:c>
      <x:c r="K199" s="5">
        <x:v>99.8509657779848</x:v>
      </x:c>
      <x:c r="L199" s="2" t="s">
        <x:v>28</x:v>
      </x:c>
      <x:c r="M199" s="4" t="e">
        <x:f>HYPERLINK("https://scan.mypinata.cloud/ipfs/bafybeih3olry3is4e4lzm7rus5l3h6zrphcal5a7ayfkhzm5oivjro2cp4/#/tx/0x679721e649c7c2c71defbe51a51f6b21719401317e093192a5047af865e5afce", "2024-03-14 18:17:35")</x:f>
      </x:c>
      <x:c r="N199" s="2" t="e">
        <x:f>IFERROR(__xludf.DUMMYFUNCTION("IF(ISDATE(TO_DATE(L199)), MAX(0, ROUND(TODAY() - TO_DATE(L199)), 0), ""-"")"),"-")</x:f>
      </x:c>
      <x:c r="O199" s="2" t="e">
        <x:f>IFERROR(__xludf.DUMMYFUNCTION("IF(ISDATE(TO_DATE(M199)), MAX(0, ROUND(TODAY() - TO_DATE(M199)), 0), ""-"")"),840.0)</x:f>
      </x:c>
      <x:c r="P199" s="2" t="s">
        <x:v>28</x:v>
      </x:c>
      <x:c r="Q199" s="2" t="s">
        <x:v>28</x:v>
      </x:c>
      <x:c r="R199" s="2" t="s">
        <x:v>28</x:v>
      </x:c>
      <x:c r="S199" s="2" t="s">
        <x:v>28</x:v>
      </x:c>
      <x:c r="T199" s="2" t="s">
        <x:v>28</x:v>
      </x:c>
      <x:c r="U199" s="2" t="s">
        <x:v>28</x:v>
      </x:c>
      <x:c r="V199" s="2" t="s">
        <x:v>28</x:v>
      </x:c>
      <x:c r="W199" s="2" t="s">
        <x:v>28</x:v>
      </x:c>
      <x:c r="X199" s="2" t="s">
        <x:v>28</x:v>
      </x:c>
      <x:c r="Y199" s="2" t="s">
        <x:v>28</x:v>
      </x:c>
      <x:c r="Z199" s="9" t="s">
        <x:v>446</x:v>
      </x:c>
      <x:c r="AA199" s="57" t="str">
        <x:v>Snapshot only — run GitHub workflow</x:v>
      </x:c>
      <x:c r="AB199" s="58" t="n">
        <x:f>IFERROR(H199/G199,"")</x:f>
        <x:v>0.001490342220152009</x:v>
      </x:c>
      <x:c r="AC199" s="57" t="str"/>
      <x:c r="AD199" s="57" t="str"/>
      <x:c r="AE199" s="57" t="str"/>
      <x:c r="AF199" s="57" t="str"/>
      <x:c r="AG199" s="2"/>
      <x:c r="AH199" s="2"/>
    </x:row>
    <x:row r="200" ht="15.75" customHeight="1">
      <x:c r="A200" s="2" t="s">
        <x:v>444</x:v>
      </x:c>
      <x:c r="B200" s="2" t="s">
        <x:v>445</x:v>
      </x:c>
      <x:c r="C200" s="3" t="e">
        <x:f>HYPERLINK("https://scan.mypinata.cloud/ipfs/bafybeih3olry3is4e4lzm7rus5l3h6zrphcal5a7ayfkhzm5oivjro2cp4/#/address/0x9FD7441F440a16Ad65900b876E7879a70Dbb7813", "0x9FD7441F440a16Ad65900b876E7879a70Dbb7813")</x:f>
      </x:c>
      <x:c r="D200" s="4" t="str">
        <x:f t="shared" si="12"/>
        <x:v>Atropa Dev</x:v>
      </x:c>
      <x:c r="E200" s="4" t="e">
        <x:f>HYPERLINK("https://scan.mypinata.cloud/ipfs/bafybeih3olry3is4e4lzm7rus5l3h6zrphcal5a7ayfkhzm5oivjro2cp4/#/block/19856323", "19856323")</x:f>
      </x:c>
      <x:c r="F200" s="4" t="e">
        <x:f>HYPERLINK("https://scan.mypinata.cloud/ipfs/bafybeih3olry3is4e4lzm7rus5l3h6zrphcal5a7ayfkhzm5oivjro2cp4/#/tx/0x33b691b9a0cb36c83d019dc430e7a961230b0c63d55fdb90a4214197fbb4fbf1", "2024-03-14 18:24:55")</x:f>
      </x:c>
      <x:c r="G200" s="5">
        <x:v>97.0</x:v>
      </x:c>
      <x:c r="H200" s="5">
        <x:v>0.1174409535071008</x:v>
      </x:c>
      <x:c r="I200" s="5">
        <x:v>0.1174409535071008</x:v>
      </x:c>
      <x:c r="J200" s="5">
        <x:v>0.0</x:v>
      </x:c>
      <x:c r="K200" s="5">
        <x:v>96.8825590464929</x:v>
      </x:c>
      <x:c r="L200" s="2" t="s">
        <x:v>28</x:v>
      </x:c>
      <x:c r="M200" s="4" t="e">
        <x:f>HYPERLINK("https://scan.mypinata.cloud/ipfs/bafybeih3olry3is4e4lzm7rus5l3h6zrphcal5a7ayfkhzm5oivjro2cp4/#/tx/0x2fe4aa71a7e31246275ee62e067f90d299535a08872be70e1c8a7b380d580c67", "2024-03-14 18:30:55")</x:f>
      </x:c>
      <x:c r="N200" s="2" t="e">
        <x:f>IFERROR(__xludf.DUMMYFUNCTION("IF(ISDATE(TO_DATE(L200)), MAX(0, ROUND(TODAY() - TO_DATE(L200)), 0), ""-"")"),"-")</x:f>
      </x:c>
      <x:c r="O200" s="2" t="e">
        <x:f>IFERROR(__xludf.DUMMYFUNCTION("IF(ISDATE(TO_DATE(M200)), MAX(0, ROUND(TODAY() - TO_DATE(M200)), 0), ""-"")"),840.0)</x:f>
      </x:c>
      <x:c r="P200" s="2" t="s">
        <x:v>28</x:v>
      </x:c>
      <x:c r="Q200" s="2" t="s">
        <x:v>28</x:v>
      </x:c>
      <x:c r="R200" s="2" t="s">
        <x:v>28</x:v>
      </x:c>
      <x:c r="S200" s="2" t="s">
        <x:v>28</x:v>
      </x:c>
      <x:c r="T200" s="2" t="s">
        <x:v>28</x:v>
      </x:c>
      <x:c r="U200" s="2" t="s">
        <x:v>28</x:v>
      </x:c>
      <x:c r="V200" s="2" t="s">
        <x:v>28</x:v>
      </x:c>
      <x:c r="W200" s="2" t="s">
        <x:v>28</x:v>
      </x:c>
      <x:c r="X200" s="2" t="s">
        <x:v>28</x:v>
      </x:c>
      <x:c r="Y200" s="2" t="s">
        <x:v>28</x:v>
      </x:c>
      <x:c r="Z200" s="9" t="s">
        <x:v>447</x:v>
      </x:c>
      <x:c r="AA200" s="57" t="str">
        <x:v>Snapshot only — run GitHub workflow</x:v>
      </x:c>
      <x:c r="AB200" s="58" t="n">
        <x:f>IFERROR(H200/G200,"")</x:f>
        <x:v>0.0012107314794546475</x:v>
      </x:c>
      <x:c r="AC200" s="57" t="str"/>
      <x:c r="AD200" s="57" t="str"/>
      <x:c r="AE200" s="57" t="str"/>
      <x:c r="AF200" s="57" t="str"/>
      <x:c r="AG200" s="2"/>
      <x:c r="AH200" s="2"/>
    </x:row>
    <x:row r="201" ht="15.75" customHeight="1">
      <x:c r="A201" s="2" t="s">
        <x:v>444</x:v>
      </x:c>
      <x:c r="B201" s="2" t="s">
        <x:v>445</x:v>
      </x:c>
      <x:c r="C201" s="3" t="e">
        <x:f>HYPERLINK("https://scan.mypinata.cloud/ipfs/bafybeih3olry3is4e4lzm7rus5l3h6zrphcal5a7ayfkhzm5oivjro2cp4/#/address/0x22b31C5e8d65Cc7e9410Bbd0769408b53B3dBe12", "0x22b31C5e8d65Cc7e9410Bbd0769408b53B3dBe12")</x:f>
      </x:c>
      <x:c r="D201" s="4" t="str">
        <x:f t="shared" si="12"/>
        <x:v>Atropa Dev</x:v>
      </x:c>
      <x:c r="E201" s="4" t="e">
        <x:f>HYPERLINK("https://scan.mypinata.cloud/ipfs/bafybeih3olry3is4e4lzm7rus5l3h6zrphcal5a7ayfkhzm5oivjro2cp4/#/block/19856409", "19856409")</x:f>
      </x:c>
      <x:c r="F201" s="4" t="e">
        <x:f>HYPERLINK("https://scan.mypinata.cloud/ipfs/bafybeih3olry3is4e4lzm7rus5l3h6zrphcal5a7ayfkhzm5oivjro2cp4/#/tx/0x58b93da9d007e0913b51b7ea1a74d5470262debb5c9a47d6aef7f5853394fb62", "2024-03-14 18:39:15")</x:f>
      </x:c>
      <x:c r="G201" s="5">
        <x:v>92.0</x:v>
      </x:c>
      <x:c r="H201" s="5">
        <x:v>0.0144007790702233</x:v>
      </x:c>
      <x:c r="I201" s="5">
        <x:v>0.0144007790702233</x:v>
      </x:c>
      <x:c r="J201" s="5">
        <x:v>0.0</x:v>
      </x:c>
      <x:c r="K201" s="5">
        <x:v>91.98559922092977</x:v>
      </x:c>
      <x:c r="L201" s="2" t="s">
        <x:v>28</x:v>
      </x:c>
      <x:c r="M201" s="4" t="e">
        <x:f>HYPERLINK("https://scan.mypinata.cloud/ipfs/bafybeih3olry3is4e4lzm7rus5l3h6zrphcal5a7ayfkhzm5oivjro2cp4/#/tx/0x71abead3718ace8222e17ada7b33db288d6b03c985098445bdb16f61c5c3dc13", "2024-03-14 18:46:55")</x:f>
      </x:c>
      <x:c r="N201" s="2" t="e">
        <x:f>IFERROR(__xludf.DUMMYFUNCTION("IF(ISDATE(TO_DATE(L201)), MAX(0, ROUND(TODAY() - TO_DATE(L201)), 0), ""-"")"),"-")</x:f>
      </x:c>
      <x:c r="O201" s="2" t="e">
        <x:f>IFERROR(__xludf.DUMMYFUNCTION("IF(ISDATE(TO_DATE(M201)), MAX(0, ROUND(TODAY() - TO_DATE(M201)), 0), ""-"")"),840.0)</x:f>
      </x:c>
      <x:c r="P201" s="2" t="s">
        <x:v>28</x:v>
      </x:c>
      <x:c r="Q201" s="2" t="s">
        <x:v>28</x:v>
      </x:c>
      <x:c r="R201" s="2" t="s">
        <x:v>28</x:v>
      </x:c>
      <x:c r="S201" s="2" t="s">
        <x:v>28</x:v>
      </x:c>
      <x:c r="T201" s="2" t="s">
        <x:v>28</x:v>
      </x:c>
      <x:c r="U201" s="2" t="s">
        <x:v>28</x:v>
      </x:c>
      <x:c r="V201" s="2" t="s">
        <x:v>28</x:v>
      </x:c>
      <x:c r="W201" s="2" t="s">
        <x:v>28</x:v>
      </x:c>
      <x:c r="X201" s="2" t="s">
        <x:v>28</x:v>
      </x:c>
      <x:c r="Y201" s="2" t="s">
        <x:v>28</x:v>
      </x:c>
      <x:c r="Z201" s="9" t="s">
        <x:v>447</x:v>
      </x:c>
      <x:c r="AA201" s="57" t="str">
        <x:v>Snapshot only — run GitHub workflow</x:v>
      </x:c>
      <x:c r="AB201" s="58" t="n">
        <x:f>IFERROR(H201/G201,"")</x:f>
        <x:v>0.00015653020728503586</x:v>
      </x:c>
      <x:c r="AC201" s="57" t="str"/>
      <x:c r="AD201" s="57" t="str"/>
      <x:c r="AE201" s="57" t="str"/>
      <x:c r="AF201" s="57" t="str"/>
      <x:c r="AG201" s="2"/>
      <x:c r="AH201" s="2"/>
    </x:row>
    <x:row r="202" ht="15.75" customHeight="1">
      <x:c r="A202" s="2" t="s">
        <x:v>444</x:v>
      </x:c>
      <x:c r="B202" s="2" t="s">
        <x:v>445</x:v>
      </x:c>
      <x:c r="C202" s="3" t="e">
        <x:f>HYPERLINK("https://scan.mypinata.cloud/ipfs/bafybeih3olry3is4e4lzm7rus5l3h6zrphcal5a7ayfkhzm5oivjro2cp4/#/address/0x15d2840Fe575873A3A1789fE8Db9124Ddb9FCA76", "0x15d2840Fe575873A3A1789fE8Db9124Ddb9FCA76")</x:f>
      </x:c>
      <x:c r="D202" s="4" t="str">
        <x:f t="shared" si="12"/>
        <x:v>Atropa Dev</x:v>
      </x:c>
      <x:c r="E202" s="4" t="e">
        <x:f>HYPERLINK("https://scan.mypinata.cloud/ipfs/bafybeih3olry3is4e4lzm7rus5l3h6zrphcal5a7ayfkhzm5oivjro2cp4/#/block/19856461", "19856461")</x:f>
      </x:c>
      <x:c r="F202" s="4" t="e">
        <x:f>HYPERLINK("https://scan.mypinata.cloud/ipfs/bafybeih3olry3is4e4lzm7rus5l3h6zrphcal5a7ayfkhzm5oivjro2cp4/#/tx/0x6d49a514a8e0ea35df1cecbd8ed8e927ca6bb4a0c3dbda92e5428624de2650e5", "2024-03-14 18:47:55")</x:f>
      </x:c>
      <x:c r="G202" s="5">
        <x:v>5.0</x:v>
      </x:c>
      <x:c r="H202" s="5">
        <x:v>1.0000000017653943</x:v>
      </x:c>
      <x:c r="I202" s="5">
        <x:v>0.0031875415399974</x:v>
      </x:c>
      <x:c r="J202" s="10" t="s">
        <x:v>448</x:v>
      </x:c>
      <x:c r="K202" s="5">
        <x:v>4.996812460225397</x:v>
      </x:c>
      <x:c r="L202" s="4" t="e">
        <x:f>HYPERLINK("https://scan.mypinata.cloud/ipfs/bafybeih3olry3is4e4lzm7rus5l3h6zrphcal5a7ayfkhzm5oivjro2cp4/#/tx/0x7377926a6ee59b40a2b9f15f3b9d96c0acf321b8db536467b0b47e89a4009891", "2024-03-14 18:53:45")</x:f>
      </x:c>
      <x:c r="M202" s="4" t="e">
        <x:f>HYPERLINK("https://scan.mypinata.cloud/ipfs/bafybeih3olry3is4e4lzm7rus5l3h6zrphcal5a7ayfkhzm5oivjro2cp4/#/tx/0xcff4a863edfdd65ef8818708ec9c9846f39831d81f53bd44e943a22f44d5426d", "2024-03-14 20:00:35")</x:f>
      </x:c>
      <x:c r="N202" s="2" t="e">
        <x:f>IFERROR(__xludf.DUMMYFUNCTION("IF(ISDATE(TO_DATE(L202)), MAX(0, ROUND(TODAY() - TO_DATE(L202)), 0), ""-"")"),840.0)</x:f>
      </x:c>
      <x:c r="O202" s="2" t="e">
        <x:f>IFERROR(__xludf.DUMMYFUNCTION("IF(ISDATE(TO_DATE(M202)), MAX(0, ROUND(TODAY() - TO_DATE(M202)), 0), ""-"")"),840.0)</x:f>
      </x:c>
      <x:c r="P202" s="2" t="s">
        <x:v>28</x:v>
      </x:c>
      <x:c r="Q202" s="2" t="s">
        <x:v>28</x:v>
      </x:c>
      <x:c r="R202" s="2" t="s">
        <x:v>28</x:v>
      </x:c>
      <x:c r="S202" s="2" t="s">
        <x:v>28</x:v>
      </x:c>
      <x:c r="T202" s="2" t="s">
        <x:v>28</x:v>
      </x:c>
      <x:c r="U202" s="2" t="s">
        <x:v>28</x:v>
      </x:c>
      <x:c r="V202" s="2" t="s">
        <x:v>28</x:v>
      </x:c>
      <x:c r="W202" s="2" t="s">
        <x:v>28</x:v>
      </x:c>
      <x:c r="X202" s="2" t="s">
        <x:v>28</x:v>
      </x:c>
      <x:c r="Y202" s="2" t="s">
        <x:v>28</x:v>
      </x:c>
      <x:c r="Z202" s="9" t="s">
        <x:v>447</x:v>
      </x:c>
      <x:c r="AA202" s="57" t="str">
        <x:v>Snapshot only — run GitHub workflow</x:v>
      </x:c>
      <x:c r="AB202" s="58" t="n">
        <x:f>IFERROR(H202/G202,"")</x:f>
        <x:v>0.20000000035307886</x:v>
      </x:c>
      <x:c r="AC202" s="57" t="str"/>
      <x:c r="AD202" s="57" t="str"/>
      <x:c r="AE202" s="57" t="str"/>
      <x:c r="AF202" s="57" t="str"/>
      <x:c r="AG202" s="2"/>
      <x:c r="AH202" s="2"/>
    </x:row>
    <x:row r="203" ht="15.75" customHeight="1">
      <x:c r="A203" s="2" t="s">
        <x:v>444</x:v>
      </x:c>
      <x:c r="B203" s="2" t="s">
        <x:v>445</x:v>
      </x:c>
      <x:c r="C203" s="3" t="e">
        <x:f>HYPERLINK("https://scan.mypinata.cloud/ipfs/bafybeih3olry3is4e4lzm7rus5l3h6zrphcal5a7ayfkhzm5oivjro2cp4/#/address/0x6f6909bA6D083B3E76c15258C1Fc17F73bCdD7bB", "0x6f6909bA6D083B3E76c15258C1Fc17F73bCdD7bB")</x:f>
      </x:c>
      <x:c r="D203" s="4" t="str">
        <x:f t="shared" si="12"/>
        <x:v>Atropa Dev</x:v>
      </x:c>
      <x:c r="E203" s="4" t="e">
        <x:f>HYPERLINK("https://scan.mypinata.cloud/ipfs/bafybeih3olry3is4e4lzm7rus5l3h6zrphcal5a7ayfkhzm5oivjro2cp4/#/block/19856836", "19856836")</x:f>
      </x:c>
      <x:c r="F203" s="4" t="e">
        <x:f>HYPERLINK("https://scan.mypinata.cloud/ipfs/bafybeih3olry3is4e4lzm7rus5l3h6zrphcal5a7ayfkhzm5oivjro2cp4/#/tx/0xd0c160f6f43600a6c67ec6d2ccd3d2bca46f365d9607523ab3f77d507258882e", "2024-03-14 19:50:55")</x:f>
      </x:c>
      <x:c r="G203" s="5">
        <x:v>6.0</x:v>
      </x:c>
      <x:c r="H203" s="5">
        <x:v>1.0838979578698258</x:v>
      </x:c>
      <x:c r="I203" s="5">
        <x:v>1.0838979578698258</x:v>
      </x:c>
      <x:c r="J203" s="10" t="s">
        <x:v>449</x:v>
      </x:c>
      <x:c r="K203" s="5">
        <x:v>4.916102065580525</x:v>
      </x:c>
      <x:c r="L203" s="4" t="e">
        <x:f>HYPERLINK("https://scan.mypinata.cloud/ipfs/bafybeih3olry3is4e4lzm7rus5l3h6zrphcal5a7ayfkhzm5oivjro2cp4/#/tx/0x033030b755ae078d63c2529f502737c3bb4dc7a98d80a97ae973c46375811f1c", "2024-08-05 17:47:25")</x:f>
      </x:c>
      <x:c r="M203" s="4" t="e">
        <x:f>HYPERLINK("https://scan.mypinata.cloud/ipfs/bafybeih3olry3is4e4lzm7rus5l3h6zrphcal5a7ayfkhzm5oivjro2cp4/#/tx/0x807057a50d2be452c0635c4ec8cb80c3d55990e5a4303b86e385864ac1bb661f", "2024-03-14 20:21:35")</x:f>
      </x:c>
      <x:c r="N203" s="2" t="e">
        <x:f>IFERROR(__xludf.DUMMYFUNCTION("IF(ISDATE(TO_DATE(L203)), MAX(0, ROUND(TODAY() - TO_DATE(L203)), 0), ""-"")"),696.0)</x:f>
      </x:c>
      <x:c r="O203" s="2" t="e">
        <x:f>IFERROR(__xludf.DUMMYFUNCTION("IF(ISDATE(TO_DATE(M203)), MAX(0, ROUND(TODAY() - TO_DATE(M203)), 0), ""-"")"),840.0)</x:f>
      </x:c>
      <x:c r="P203" s="2" t="s">
        <x:v>28</x:v>
      </x:c>
      <x:c r="Q203" s="2" t="s">
        <x:v>28</x:v>
      </x:c>
      <x:c r="R203" s="2" t="s">
        <x:v>28</x:v>
      </x:c>
      <x:c r="S203" s="2" t="s">
        <x:v>28</x:v>
      </x:c>
      <x:c r="T203" s="2" t="s">
        <x:v>28</x:v>
      </x:c>
      <x:c r="U203" s="2" t="s">
        <x:v>28</x:v>
      </x:c>
      <x:c r="V203" s="2" t="s">
        <x:v>28</x:v>
      </x:c>
      <x:c r="W203" s="2" t="s">
        <x:v>28</x:v>
      </x:c>
      <x:c r="X203" s="2" t="s">
        <x:v>28</x:v>
      </x:c>
      <x:c r="Y203" s="2" t="s">
        <x:v>28</x:v>
      </x:c>
      <x:c r="Z203" s="9" t="s">
        <x:v>447</x:v>
      </x:c>
      <x:c r="AA203" s="57" t="str">
        <x:v>Snapshot only — run GitHub workflow</x:v>
      </x:c>
      <x:c r="AB203" s="58" t="n">
        <x:f>IFERROR(H203/G203,"")</x:f>
        <x:v>0.18064965964497096</x:v>
      </x:c>
      <x:c r="AC203" s="57" t="str"/>
      <x:c r="AD203" s="57" t="str"/>
      <x:c r="AE203" s="57" t="str"/>
      <x:c r="AF203" s="57" t="str"/>
      <x:c r="AG203" s="2"/>
      <x:c r="AH203" s="2"/>
    </x:row>
    <x:row r="204" ht="15.75" customHeight="1">
      <x:c r="A204" s="2" t="s">
        <x:v>444</x:v>
      </x:c>
      <x:c r="B204" s="2" t="s">
        <x:v>445</x:v>
      </x:c>
      <x:c r="C204" s="3" t="e">
        <x:f>HYPERLINK("https://scan.mypinata.cloud/ipfs/bafybeih3olry3is4e4lzm7rus5l3h6zrphcal5a7ayfkhzm5oivjro2cp4/#/address/0xC6F085DE4f388a48ce2942857455147A37870086", "0xC6F085DE4f388a48ce2942857455147A37870086")</x:f>
      </x:c>
      <x:c r="D204" s="4" t="str">
        <x:f t="shared" si="12"/>
        <x:v>Atropa Dev</x:v>
      </x:c>
      <x:c r="E204" s="4" t="e">
        <x:f>HYPERLINK("https://scan.mypinata.cloud/ipfs/bafybeih3olry3is4e4lzm7rus5l3h6zrphcal5a7ayfkhzm5oivjro2cp4/#/block/19857061", "19857061")</x:f>
      </x:c>
      <x:c r="F204" s="4" t="e">
        <x:f>HYPERLINK("https://scan.mypinata.cloud/ipfs/bafybeih3olry3is4e4lzm7rus5l3h6zrphcal5a7ayfkhzm5oivjro2cp4/#/tx/0x84544ea960081b44b908099fff0a2bf61fabfaea2530264ebe5412475c7227c7", "2024-03-14 20:28:25")</x:f>
      </x:c>
      <x:c r="G204" s="5">
        <x:v>3.0</x:v>
      </x:c>
      <x:c r="H204" s="5">
        <x:v>3.000010637983351</x:v>
      </x:c>
      <x:c r="I204" s="5">
        <x:v>3.000010635331549</x:v>
      </x:c>
      <x:c r="J204" s="5">
        <x:v>1.06353315494E-5</x:v>
      </x:c>
      <x:c r="K204" s="5">
        <x:v>0.0</x:v>
      </x:c>
      <x:c r="L204" s="4" t="e">
        <x:f>HYPERLINK("https://scan.mypinata.cloud/ipfs/bafybeih3olry3is4e4lzm7rus5l3h6zrphcal5a7ayfkhzm5oivjro2cp4/#/tx/0xfba1dcdc893ebca095869744937e250ad18d0b554612dc5a9010bc2917588515", "2025-02-26 09:07:05")</x:f>
      </x:c>
      <x:c r="M204" s="2" t="s">
        <x:v>28</x:v>
      </x:c>
      <x:c r="N204" s="2" t="e">
        <x:f>IFERROR(__xludf.DUMMYFUNCTION("IF(ISDATE(TO_DATE(L204)), MAX(0, ROUND(TODAY() - TO_DATE(L204)), 0), ""-"")"),492.0)</x:f>
      </x:c>
      <x:c r="O204" s="2" t="e">
        <x:f>IFERROR(__xludf.DUMMYFUNCTION("IF(ISDATE(TO_DATE(M204)), MAX(0, ROUND(TODAY() - TO_DATE(M204)), 0), ""-"")"),"-")</x:f>
      </x:c>
      <x:c r="P204" s="2" t="s">
        <x:v>28</x:v>
      </x:c>
      <x:c r="Q204" s="2" t="s">
        <x:v>28</x:v>
      </x:c>
      <x:c r="R204" s="2" t="s">
        <x:v>28</x:v>
      </x:c>
      <x:c r="S204" s="2" t="s">
        <x:v>28</x:v>
      </x:c>
      <x:c r="T204" s="2" t="s">
        <x:v>28</x:v>
      </x:c>
      <x:c r="U204" s="2" t="s">
        <x:v>28</x:v>
      </x:c>
      <x:c r="V204" s="2" t="s">
        <x:v>28</x:v>
      </x:c>
      <x:c r="W204" s="2" t="s">
        <x:v>28</x:v>
      </x:c>
      <x:c r="X204" s="2" t="s">
        <x:v>28</x:v>
      </x:c>
      <x:c r="Y204" s="2" t="s">
        <x:v>28</x:v>
      </x:c>
      <x:c r="Z204" s="9" t="s">
        <x:v>447</x:v>
      </x:c>
      <x:c r="AA204" s="57" t="str">
        <x:v>Snapshot only — run GitHub workflow</x:v>
      </x:c>
      <x:c r="AB204" s="58" t="n">
        <x:f>IFERROR(H204/G204,"")</x:f>
        <x:v>1.0000035459944503</x:v>
      </x:c>
      <x:c r="AC204" s="57" t="str"/>
      <x:c r="AD204" s="57" t="str"/>
      <x:c r="AE204" s="57" t="str"/>
      <x:c r="AF204" s="57" t="str"/>
      <x:c r="AG204" s="2"/>
      <x:c r="AH204" s="2"/>
    </x:row>
    <x:row r="205" ht="15.75" customHeight="1">
      <x:c r="A205" s="12" t="s">
        <x:v>450</x:v>
      </x:c>
      <x:c r="B205" s="12" t="s">
        <x:v>451</x:v>
      </x:c>
      <x:c r="C205" s="13" t="e">
        <x:f>HYPERLINK("https://scan.mypinata.cloud/ipfs/bafybeih3olry3is4e4lzm7rus5l3h6zrphcal5a7ayfkhzm5oivjro2cp4/#/address/0x80C105217885707BA0003ffAe7Ab01466E5E8488", "0x80C105217885707BA0003ffAe7Ab01466E5E8488")</x:f>
      </x:c>
      <x:c r="D205" s="14" t="str">
        <x:f t="shared" si="12"/>
        <x:v>Atropa Dev</x:v>
      </x:c>
      <x:c r="E205" s="14" t="e">
        <x:f>HYPERLINK("https://scan.mypinata.cloud/ipfs/bafybeih3olry3is4e4lzm7rus5l3h6zrphcal5a7ayfkhzm5oivjro2cp4/#/block/19861789", "19861789")</x:f>
      </x:c>
      <x:c r="F205" s="14" t="e">
        <x:f>HYPERLINK("https://scan.mypinata.cloud/ipfs/bafybeih3olry3is4e4lzm7rus5l3h6zrphcal5a7ayfkhzm5oivjro2cp4/#/tx/0x7fc51ff2cad3ad483e474f7abba1678cb5ea30d32573eeecdc7d0c5ee8218758", "2024-03-15 10:04:35")</x:f>
      </x:c>
      <x:c r="G205" s="15">
        <x:v>3.0</x:v>
      </x:c>
      <x:c r="H205" s="15">
        <x:v>3.638710533126676</x:v>
      </x:c>
      <x:c r="I205" s="15">
        <x:v>3.6381753945385973</x:v>
      </x:c>
      <x:c r="J205" s="15">
        <x:v>0.6381753945385974</x:v>
      </x:c>
      <x:c r="K205" s="15">
        <x:v>0.0</x:v>
      </x:c>
      <x:c r="L205" s="14" t="e">
        <x:f>HYPERLINK("https://scan.mypinata.cloud/ipfs/bafybeih3olry3is4e4lzm7rus5l3h6zrphcal5a7ayfkhzm5oivjro2cp4/#/tx/0xe45194e2216033039d457f54116023a5da6abcf6d144082bbc40632071bd0077", "2025-02-23 02:55:55")</x:f>
      </x:c>
      <x:c r="M205" s="16" t="s">
        <x:v>28</x:v>
      </x:c>
      <x:c r="N205" s="16" t="e">
        <x:f>IFERROR(__xludf.DUMMYFUNCTION("IF(ISDATE(TO_DATE(L205)), MAX(0, ROUND(TODAY() - TO_DATE(L205)), 0), ""-"")"),495.0)</x:f>
      </x:c>
      <x:c r="O205" s="16" t="e">
        <x:f>IFERROR(__xludf.DUMMYFUNCTION("IF(ISDATE(TO_DATE(M205)), MAX(0, ROUND(TODAY() - TO_DATE(M205)), 0), ""-"")"),"-")</x:f>
      </x:c>
      <x:c r="P205" s="16" t="s">
        <x:v>28</x:v>
      </x:c>
      <x:c r="Q205" s="16" t="s">
        <x:v>28</x:v>
      </x:c>
      <x:c r="R205" s="16" t="s">
        <x:v>28</x:v>
      </x:c>
      <x:c r="S205" s="16" t="s">
        <x:v>28</x:v>
      </x:c>
      <x:c r="T205" s="16" t="s">
        <x:v>28</x:v>
      </x:c>
      <x:c r="U205" s="16" t="s">
        <x:v>28</x:v>
      </x:c>
      <x:c r="V205" s="16" t="s">
        <x:v>28</x:v>
      </x:c>
      <x:c r="W205" s="16" t="s">
        <x:v>28</x:v>
      </x:c>
      <x:c r="X205" s="16" t="s">
        <x:v>28</x:v>
      </x:c>
      <x:c r="Y205" s="16" t="s">
        <x:v>28</x:v>
      </x:c>
      <x:c r="Z205" s="19" t="s">
        <x:v>452</x:v>
      </x:c>
      <x:c r="AA205" s="37" t="str">
        <x:v>Snapshot only — run GitHub workflow</x:v>
      </x:c>
      <x:c r="AB205" s="59" t="n">
        <x:f>IFERROR(H205/G205,"")</x:f>
        <x:v>1.2129035110422253</x:v>
      </x:c>
      <x:c r="AC205" s="37" t="str"/>
      <x:c r="AD205" s="37" t="str"/>
      <x:c r="AE205" s="37" t="str"/>
      <x:c r="AF205" s="37" t="str"/>
      <x:c r="AG205" s="16"/>
      <x:c r="AH205" s="16"/>
    </x:row>
    <x:row r="206" ht="15.75" customHeight="1">
      <x:c r="A206" s="2" t="s">
        <x:v>453</x:v>
      </x:c>
      <x:c r="B206" s="2" t="s">
        <x:v>454</x:v>
      </x:c>
      <x:c r="C206" s="3" t="e">
        <x:f>HYPERLINK("https://scan.mypinata.cloud/ipfs/bafybeih3olry3is4e4lzm7rus5l3h6zrphcal5a7ayfkhzm5oivjro2cp4/#/address/0xF2563864C22022deb03ce929c26C54033a69E9d5", "0xF2563864C22022deb03ce929c26C54033a69E9d5")</x:f>
      </x:c>
      <x:c r="D206" s="4" t="str">
        <x:f t="shared" si="12"/>
        <x:v>Atropa Dev</x:v>
      </x:c>
      <x:c r="E206" s="4" t="e">
        <x:f>HYPERLINK("https://scan.mypinata.cloud/ipfs/bafybeih3olry3is4e4lzm7rus5l3h6zrphcal5a7ayfkhzm5oivjro2cp4/#/block/19863836", "19863836")</x:f>
      </x:c>
      <x:c r="F206" s="4" t="e">
        <x:f>HYPERLINK("https://scan.mypinata.cloud/ipfs/bafybeih3olry3is4e4lzm7rus5l3h6zrphcal5a7ayfkhzm5oivjro2cp4/#/tx/0x702ec9cd6afb959be2928cd682b0a022bbb1c24eb7a55a1c23833e0a73c39838", "2024-03-15 16:01:05")</x:f>
      </x:c>
      <x:c r="G206" s="5">
        <x:v>3.0</x:v>
      </x:c>
      <x:c r="H206" s="5">
        <x:v>3.0002939003170406</x:v>
      </x:c>
      <x:c r="I206" s="5">
        <x:v>3.0002933545466846</x:v>
      </x:c>
      <x:c r="J206" s="5">
        <x:v>2.933545466845E-4</x:v>
      </x:c>
      <x:c r="K206" s="5">
        <x:v>0.0</x:v>
      </x:c>
      <x:c r="L206" s="4" t="e">
        <x:f>HYPERLINK("https://scan.mypinata.cloud/ipfs/bafybeih3olry3is4e4lzm7rus5l3h6zrphcal5a7ayfkhzm5oivjro2cp4/#/tx/0xa3fe39ce49b95d61787680b26733ad2086e1e8a55614bcefe5423f2fbefe2440", "2025-02-27 07:44:25")</x:f>
      </x:c>
      <x:c r="M206" s="2" t="s">
        <x:v>28</x:v>
      </x:c>
      <x:c r="N206" s="2" t="e">
        <x:f>IFERROR(__xludf.DUMMYFUNCTION("IF(ISDATE(TO_DATE(L206)), MAX(0, ROUND(TODAY() - TO_DATE(L206)), 0), ""-"")"),491.0)</x:f>
      </x:c>
      <x:c r="O206" s="2" t="e">
        <x:f>IFERROR(__xludf.DUMMYFUNCTION("IF(ISDATE(TO_DATE(M206)), MAX(0, ROUND(TODAY() - TO_DATE(M206)), 0), ""-"")"),"-")</x:f>
      </x:c>
      <x:c r="P206" s="2" t="s">
        <x:v>28</x:v>
      </x:c>
      <x:c r="Q206" s="2" t="s">
        <x:v>28</x:v>
      </x:c>
      <x:c r="R206" s="2" t="s">
        <x:v>28</x:v>
      </x:c>
      <x:c r="S206" s="2" t="s">
        <x:v>28</x:v>
      </x:c>
      <x:c r="T206" s="7">
        <x:v>2.34</x:v>
      </x:c>
      <x:c r="U206" s="7">
        <x:v>46.17</x:v>
      </x:c>
      <x:c r="V206" s="2" t="s">
        <x:v>28</x:v>
      </x:c>
      <x:c r="W206" s="2" t="s">
        <x:v>28</x:v>
      </x:c>
      <x:c r="X206" s="2" t="s">
        <x:v>28</x:v>
      </x:c>
      <x:c r="Y206" s="2" t="s">
        <x:v>28</x:v>
      </x:c>
      <x:c r="Z206" s="9" t="s">
        <x:v>446</x:v>
      </x:c>
      <x:c r="AA206" s="57" t="str">
        <x:v>Snapshot only — run GitHub workflow</x:v>
      </x:c>
      <x:c r="AB206" s="58" t="n">
        <x:f>IFERROR(H206/G206,"")</x:f>
        <x:v>1.0000979667723469</x:v>
      </x:c>
      <x:c r="AC206" s="57" t="str"/>
      <x:c r="AD206" s="57" t="str"/>
      <x:c r="AE206" s="57" t="str"/>
      <x:c r="AF206" s="57" t="str"/>
      <x:c r="AG206" s="2"/>
      <x:c r="AH206" s="2"/>
    </x:row>
    <x:row r="207" ht="15.75" customHeight="1">
      <x:c r="A207" s="2" t="s">
        <x:v>455</x:v>
      </x:c>
      <x:c r="B207" s="2" t="s">
        <x:v>456</x:v>
      </x:c>
      <x:c r="C207" s="3" t="e">
        <x:f>HYPERLINK("https://scan.mypinata.cloud/ipfs/bafybeih3olry3is4e4lzm7rus5l3h6zrphcal5a7ayfkhzm5oivjro2cp4/#/address/0xA78feD26D175b4B2c83F69Ca3eA195123ca30381", "0xA78feD26D175b4B2c83F69Ca3eA195123ca30381")</x:f>
      </x:c>
      <x:c r="D207" s="4" t="str">
        <x:f t="shared" si="12"/>
        <x:v>Atropa Dev</x:v>
      </x:c>
      <x:c r="E207" s="4" t="e">
        <x:f>HYPERLINK("https://scan.mypinata.cloud/ipfs/bafybeih3olry3is4e4lzm7rus5l3h6zrphcal5a7ayfkhzm5oivjro2cp4/#/block/19864458", "19864458")</x:f>
      </x:c>
      <x:c r="F207" s="4" t="e">
        <x:f>HYPERLINK("https://scan.mypinata.cloud/ipfs/bafybeih3olry3is4e4lzm7rus5l3h6zrphcal5a7ayfkhzm5oivjro2cp4/#/tx/0x4dc018526c691baf1bc8e87a7e6b7543dc54c0e4f4a7327d80e97441c9b8ab7f", "2024-03-15 17:46:15")</x:f>
      </x:c>
      <x:c r="G207" s="5">
        <x:v>3.0</x:v>
      </x:c>
      <x:c r="H207" s="5">
        <x:v>1.1473187706044176E17</x:v>
      </x:c>
      <x:c r="I207" s="5">
        <x:v>1.1473187706044176E17</x:v>
      </x:c>
      <x:c r="J207" s="5">
        <x:v>1.14731877061787872E17</x:v>
      </x:c>
      <x:c r="K207" s="5">
        <x:v>1.3461191112322727E13</x:v>
      </x:c>
      <x:c r="L207" s="4" t="e">
        <x:f>HYPERLINK("https://scan.mypinata.cloud/ipfs/bafybeih3olry3is4e4lzm7rus5l3h6zrphcal5a7ayfkhzm5oivjro2cp4/#/tx/0xcd2dac64cfe26cdb9d3569a13dab88f32ca4e8ce1473ef1c27445c08208a0d63", "2024-03-15 19:06:05")</x:f>
      </x:c>
      <x:c r="M207" s="4" t="e">
        <x:f>HYPERLINK("https://scan.mypinata.cloud/ipfs/bafybeih3olry3is4e4lzm7rus5l3h6zrphcal5a7ayfkhzm5oivjro2cp4/#/tx/0x2458cd5c10d34c41669f49c5d5cfdde1d6c7e17c3aeda4286f9555492e79ef09", "2024-03-15 19:34:15")</x:f>
      </x:c>
      <x:c r="N207" s="2" t="e">
        <x:f>IFERROR(__xludf.DUMMYFUNCTION("IF(ISDATE(TO_DATE(L207)), MAX(0, ROUND(TODAY() - TO_DATE(L207)), 0), ""-"")"),839.0)</x:f>
      </x:c>
      <x:c r="O207" s="2" t="e">
        <x:f>IFERROR(__xludf.DUMMYFUNCTION("IF(ISDATE(TO_DATE(M207)), MAX(0, ROUND(TODAY() - TO_DATE(M207)), 0), ""-"")"),839.0)</x:f>
      </x:c>
      <x:c r="P207" s="2" t="s">
        <x:v>28</x:v>
      </x:c>
      <x:c r="Q207" s="2" t="s">
        <x:v>28</x:v>
      </x:c>
      <x:c r="R207" s="2" t="s">
        <x:v>28</x:v>
      </x:c>
      <x:c r="S207" s="2" t="s">
        <x:v>28</x:v>
      </x:c>
      <x:c r="T207" s="2" t="s">
        <x:v>28</x:v>
      </x:c>
      <x:c r="U207" s="2" t="s">
        <x:v>28</x:v>
      </x:c>
      <x:c r="V207" s="2" t="s">
        <x:v>28</x:v>
      </x:c>
      <x:c r="W207" s="2" t="s">
        <x:v>28</x:v>
      </x:c>
      <x:c r="X207" s="2" t="s">
        <x:v>28</x:v>
      </x:c>
      <x:c r="Y207" s="2" t="s">
        <x:v>28</x:v>
      </x:c>
      <x:c r="Z207" s="9" t="s">
        <x:v>457</x:v>
      </x:c>
      <x:c r="AA207" s="57" t="str">
        <x:v>Snapshot only — run GitHub workflow</x:v>
      </x:c>
      <x:c r="AB207" s="58" t="n">
        <x:f>IFERROR(H207/G207,"")</x:f>
        <x:v>38243959020147256</x:v>
      </x:c>
      <x:c r="AC207" s="57" t="str"/>
      <x:c r="AD207" s="57" t="str"/>
      <x:c r="AE207" s="57" t="str"/>
      <x:c r="AF207" s="57" t="str"/>
      <x:c r="AG207" s="2"/>
      <x:c r="AH207" s="2"/>
    </x:row>
    <x:row r="208" ht="15.75" customHeight="1">
      <x:c r="A208" s="2" t="s">
        <x:v>458</x:v>
      </x:c>
      <x:c r="B208" s="2" t="s">
        <x:v>459</x:v>
      </x:c>
      <x:c r="C208" s="3" t="e">
        <x:f>HYPERLINK("https://scan.mypinata.cloud/ipfs/bafybeih3olry3is4e4lzm7rus5l3h6zrphcal5a7ayfkhzm5oivjro2cp4/#/address/0xdF606c14351fd52bF502d5F60D105320CF5D99D5", "0xdF606c14351fd52bF502d5F60D105320CF5D99D5")</x:f>
      </x:c>
      <x:c r="D208" s="4" t="str">
        <x:f t="shared" si="12"/>
        <x:v>Atropa Dev</x:v>
      </x:c>
      <x:c r="E208" s="4" t="e">
        <x:f>HYPERLINK("https://scan.mypinata.cloud/ipfs/bafybeih3olry3is4e4lzm7rus5l3h6zrphcal5a7ayfkhzm5oivjro2cp4/#/block/19865291", "19865291")</x:f>
      </x:c>
      <x:c r="F208" s="4" t="e">
        <x:f>HYPERLINK("https://scan.mypinata.cloud/ipfs/bafybeih3olry3is4e4lzm7rus5l3h6zrphcal5a7ayfkhzm5oivjro2cp4/#/tx/0x93b5a6c790b4030f0cc6a14b5bee10f2244fd12b6b51e23c476aeaa3cddd6c0c", "2024-03-15 20:07:25")</x:f>
      </x:c>
      <x:c r="G208" s="5">
        <x:v>3.0</x:v>
      </x:c>
      <x:c r="H208" s="5">
        <x:v>3.027487262733289</x:v>
      </x:c>
      <x:c r="I208" s="5">
        <x:v>3.0274838906207124</x:v>
      </x:c>
      <x:c r="J208" s="5">
        <x:v>0.0274838906207126</x:v>
      </x:c>
      <x:c r="K208" s="5">
        <x:v>0.0</x:v>
      </x:c>
      <x:c r="L208" s="4" t="e">
        <x:f>HYPERLINK("https://scan.mypinata.cloud/ipfs/bafybeih3olry3is4e4lzm7rus5l3h6zrphcal5a7ayfkhzm5oivjro2cp4/#/tx/0xbead50496049f8b973d5855b95205026a6f216f5ca0b401aba92f819bf72913b", "2025-02-27 03:08:15")</x:f>
      </x:c>
      <x:c r="M208" s="2" t="s">
        <x:v>28</x:v>
      </x:c>
      <x:c r="N208" s="2" t="e">
        <x:f>IFERROR(__xludf.DUMMYFUNCTION("IF(ISDATE(TO_DATE(L208)), MAX(0, ROUND(TODAY() - TO_DATE(L208)), 0), ""-"")"),491.0)</x:f>
      </x:c>
      <x:c r="O208" s="2" t="e">
        <x:f>IFERROR(__xludf.DUMMYFUNCTION("IF(ISDATE(TO_DATE(M208)), MAX(0, ROUND(TODAY() - TO_DATE(M208)), 0), ""-"")"),"-")</x:f>
      </x:c>
      <x:c r="P208" s="2" t="s">
        <x:v>28</x:v>
      </x:c>
      <x:c r="Q208" s="2" t="s">
        <x:v>28</x:v>
      </x:c>
      <x:c r="R208" s="2" t="s">
        <x:v>28</x:v>
      </x:c>
      <x:c r="S208" s="2" t="s">
        <x:v>28</x:v>
      </x:c>
      <x:c r="T208" s="2" t="s">
        <x:v>28</x:v>
      </x:c>
      <x:c r="U208" s="2" t="s">
        <x:v>28</x:v>
      </x:c>
      <x:c r="V208" s="2" t="s">
        <x:v>28</x:v>
      </x:c>
      <x:c r="W208" s="2" t="s">
        <x:v>28</x:v>
      </x:c>
      <x:c r="X208" s="2" t="s">
        <x:v>28</x:v>
      </x:c>
      <x:c r="Y208" s="2" t="s">
        <x:v>28</x:v>
      </x:c>
      <x:c r="Z208" s="9" t="s">
        <x:v>460</x:v>
      </x:c>
      <x:c r="AA208" s="57" t="str">
        <x:v>Snapshot only — run GitHub workflow</x:v>
      </x:c>
      <x:c r="AB208" s="58" t="n">
        <x:f>IFERROR(H208/G208,"")</x:f>
        <x:v>1.0091624209110963</x:v>
      </x:c>
      <x:c r="AC208" s="57" t="str"/>
      <x:c r="AD208" s="57" t="str"/>
      <x:c r="AE208" s="57" t="str"/>
      <x:c r="AF208" s="57" t="str"/>
      <x:c r="AG208" s="2"/>
      <x:c r="AH208" s="2"/>
    </x:row>
    <x:row r="209" ht="15.75" customHeight="1">
      <x:c r="A209" s="2" t="s">
        <x:v>461</x:v>
      </x:c>
      <x:c r="B209" s="2" t="s">
        <x:v>462</x:v>
      </x:c>
      <x:c r="C209" s="3" t="e">
        <x:f>HYPERLINK("https://scan.mypinata.cloud/ipfs/bafybeih3olry3is4e4lzm7rus5l3h6zrphcal5a7ayfkhzm5oivjro2cp4/#/address/0xF65D7943E77569e76Ee060Aef84e243d7A34C496", "0xF65D7943E77569e76Ee060Aef84e243d7A34C496")</x:f>
      </x:c>
      <x:c r="D209" s="4" t="str">
        <x:f t="shared" si="12"/>
        <x:v>Atropa Dev</x:v>
      </x:c>
      <x:c r="E209" s="4" t="e">
        <x:f>HYPERLINK("https://scan.mypinata.cloud/ipfs/bafybeih3olry3is4e4lzm7rus5l3h6zrphcal5a7ayfkhzm5oivjro2cp4/#/block/19865520", "19865520")</x:f>
      </x:c>
      <x:c r="F209" s="4" t="e">
        <x:f>HYPERLINK("https://scan.mypinata.cloud/ipfs/bafybeih3olry3is4e4lzm7rus5l3h6zrphcal5a7ayfkhzm5oivjro2cp4/#/tx/0xd0b64cd5455ea283645c3b3f4f3090b5ba59257edcf5f6c94e35aaaef741fe18", "2024-03-15 20:46:25")</x:f>
      </x:c>
      <x:c r="G209" s="5">
        <x:v>3.0</x:v>
      </x:c>
      <x:c r="H209" s="5">
        <x:v>1.131</x:v>
      </x:c>
      <x:c r="I209" s="5">
        <x:v>1.131</x:v>
      </x:c>
      <x:c r="J209" s="5">
        <x:v>0.0</x:v>
      </x:c>
      <x:c r="K209" s="5">
        <x:v>1.869</x:v>
      </x:c>
      <x:c r="L209" s="2" t="s">
        <x:v>28</x:v>
      </x:c>
      <x:c r="M209" s="4" t="e">
        <x:f>HYPERLINK("https://scan.mypinata.cloud/ipfs/bafybeih3olry3is4e4lzm7rus5l3h6zrphcal5a7ayfkhzm5oivjro2cp4/#/tx/0xf27bb17abe6e5431e48fcbbeed55d81e9a126d5ebf28a3229910ddd9bff4680e", "2024-03-15 20:54:35")</x:f>
      </x:c>
      <x:c r="N209" s="2" t="e">
        <x:f>IFERROR(__xludf.DUMMYFUNCTION("IF(ISDATE(TO_DATE(L209)), MAX(0, ROUND(TODAY() - TO_DATE(L209)), 0), ""-"")"),"-")</x:f>
      </x:c>
      <x:c r="O209" s="2" t="e">
        <x:f>IFERROR(__xludf.DUMMYFUNCTION("IF(ISDATE(TO_DATE(M209)), MAX(0, ROUND(TODAY() - TO_DATE(M209)), 0), ""-"")"),839.0)</x:f>
      </x:c>
      <x:c r="P209" s="2" t="s">
        <x:v>28</x:v>
      </x:c>
      <x:c r="Q209" s="2" t="s">
        <x:v>28</x:v>
      </x:c>
      <x:c r="R209" s="2" t="s">
        <x:v>28</x:v>
      </x:c>
      <x:c r="S209" s="2" t="s">
        <x:v>28</x:v>
      </x:c>
      <x:c r="T209" s="2" t="s">
        <x:v>28</x:v>
      </x:c>
      <x:c r="U209" s="2" t="s">
        <x:v>28</x:v>
      </x:c>
      <x:c r="V209" s="2" t="s">
        <x:v>28</x:v>
      </x:c>
      <x:c r="W209" s="2" t="s">
        <x:v>28</x:v>
      </x:c>
      <x:c r="X209" s="2" t="s">
        <x:v>28</x:v>
      </x:c>
      <x:c r="Y209" s="2" t="s">
        <x:v>28</x:v>
      </x:c>
      <x:c r="Z209" s="9" t="s">
        <x:v>463</x:v>
      </x:c>
      <x:c r="AA209" s="57" t="str">
        <x:v>Snapshot only — run GitHub workflow</x:v>
      </x:c>
      <x:c r="AB209" s="58" t="n">
        <x:f>IFERROR(H209/G209,"")</x:f>
        <x:v>0.377</x:v>
      </x:c>
      <x:c r="AC209" s="57" t="str"/>
      <x:c r="AD209" s="57" t="str"/>
      <x:c r="AE209" s="57" t="str"/>
      <x:c r="AF209" s="57" t="str"/>
      <x:c r="AG209" s="2"/>
      <x:c r="AH209" s="2"/>
    </x:row>
    <x:row r="210" ht="15.75" customHeight="1">
      <x:c r="A210" s="2" t="s">
        <x:v>464</x:v>
      </x:c>
      <x:c r="B210" s="2" t="s">
        <x:v>465</x:v>
      </x:c>
      <x:c r="C210" s="3" t="e">
        <x:f>HYPERLINK("https://scan.mypinata.cloud/ipfs/bafybeih3olry3is4e4lzm7rus5l3h6zrphcal5a7ayfkhzm5oivjro2cp4/#/address/0x744F1A65491cfD4A50b95C0d3CFF8095c4448848", "0x744F1A65491cfD4A50b95C0d3CFF8095c4448848")</x:f>
      </x:c>
      <x:c r="D210" s="4" t="str">
        <x:f t="shared" si="12"/>
        <x:v>Atropa Dev</x:v>
      </x:c>
      <x:c r="E210" s="4" t="e">
        <x:f>HYPERLINK("https://scan.mypinata.cloud/ipfs/bafybeih3olry3is4e4lzm7rus5l3h6zrphcal5a7ayfkhzm5oivjro2cp4/#/block/19865625", "19865625")</x:f>
      </x:c>
      <x:c r="F210" s="4" t="e">
        <x:f>HYPERLINK("https://scan.mypinata.cloud/ipfs/bafybeih3olry3is4e4lzm7rus5l3h6zrphcal5a7ayfkhzm5oivjro2cp4/#/tx/0xa77cffa1064ebd9c833ca9241e7e3f21a46bfaf59a4003b5b515bda3e240023e", "2024-03-15 21:04:05")</x:f>
      </x:c>
      <x:c r="G210" s="5">
        <x:v>3.0</x:v>
      </x:c>
      <x:c r="H210" s="5">
        <x:v>1.0011000002705408</x:v>
      </x:c>
      <x:c r="I210" s="5">
        <x:v>1.0011000002705408</x:v>
      </x:c>
      <x:c r="J210" s="10" t="s">
        <x:v>466</x:v>
      </x:c>
      <x:c r="K210" s="5">
        <x:v>1.9989</x:v>
      </x:c>
      <x:c r="L210" s="4" t="e">
        <x:f>HYPERLINK("https://scan.mypinata.cloud/ipfs/bafybeih3olry3is4e4lzm7rus5l3h6zrphcal5a7ayfkhzm5oivjro2cp4/#/tx/0x3b899a768e0b5305956c95fdf69b9756f110688c75253bb9bccd7de2d14c6d7d", "2024-03-15 21:07:35")</x:f>
      </x:c>
      <x:c r="M210" s="4" t="e">
        <x:f>HYPERLINK("https://scan.mypinata.cloud/ipfs/bafybeih3olry3is4e4lzm7rus5l3h6zrphcal5a7ayfkhzm5oivjro2cp4/#/tx/0xcac75c08d2a5f95c372135d2c48437e0ce73789419f549b64988a49fec776306", "2024-03-15 21:13:25")</x:f>
      </x:c>
      <x:c r="N210" s="2" t="e">
        <x:f>IFERROR(__xludf.DUMMYFUNCTION("IF(ISDATE(TO_DATE(L210)), MAX(0, ROUND(TODAY() - TO_DATE(L210)), 0), ""-"")"),839.0)</x:f>
      </x:c>
      <x:c r="O210" s="2" t="e">
        <x:f>IFERROR(__xludf.DUMMYFUNCTION("IF(ISDATE(TO_DATE(M210)), MAX(0, ROUND(TODAY() - TO_DATE(M210)), 0), ""-"")"),839.0)</x:f>
      </x:c>
      <x:c r="P210" s="2" t="s">
        <x:v>28</x:v>
      </x:c>
      <x:c r="Q210" s="2" t="s">
        <x:v>28</x:v>
      </x:c>
      <x:c r="R210" s="2" t="s">
        <x:v>28</x:v>
      </x:c>
      <x:c r="S210" s="2" t="s">
        <x:v>28</x:v>
      </x:c>
      <x:c r="T210" s="2" t="s">
        <x:v>28</x:v>
      </x:c>
      <x:c r="U210" s="2" t="s">
        <x:v>28</x:v>
      </x:c>
      <x:c r="V210" s="2" t="s">
        <x:v>28</x:v>
      </x:c>
      <x:c r="W210" s="2" t="s">
        <x:v>28</x:v>
      </x:c>
      <x:c r="X210" s="2" t="s">
        <x:v>28</x:v>
      </x:c>
      <x:c r="Y210" s="2" t="s">
        <x:v>28</x:v>
      </x:c>
      <x:c r="Z210" s="9" t="s">
        <x:v>467</x:v>
      </x:c>
      <x:c r="AA210" s="57" t="str">
        <x:v>Snapshot only — run GitHub workflow</x:v>
      </x:c>
      <x:c r="AB210" s="58" t="n">
        <x:f>IFERROR(H210/G210,"")</x:f>
        <x:v>0.33370000009018025</x:v>
      </x:c>
      <x:c r="AC210" s="57" t="str"/>
      <x:c r="AD210" s="57" t="str"/>
      <x:c r="AE210" s="57" t="str"/>
      <x:c r="AF210" s="57" t="str"/>
      <x:c r="AG210" s="2"/>
      <x:c r="AH210" s="2"/>
    </x:row>
    <x:row r="211" ht="15.75" customHeight="1">
      <x:c r="A211" s="2" t="s">
        <x:v>468</x:v>
      </x:c>
      <x:c r="B211" s="2" t="s">
        <x:v>469</x:v>
      </x:c>
      <x:c r="C211" s="3" t="e">
        <x:f>HYPERLINK("https://scan.mypinata.cloud/ipfs/bafybeih3olry3is4e4lzm7rus5l3h6zrphcal5a7ayfkhzm5oivjro2cp4/#/address/0xa9353a16cA53a2009fEBF62029F8555216588Fea", "0xa9353a16cA53a2009fEBF62029F8555216588Fea")</x:f>
      </x:c>
      <x:c r="D211" s="4" t="str">
        <x:f t="shared" si="12"/>
        <x:v>Atropa Dev</x:v>
      </x:c>
      <x:c r="E211" s="4" t="e">
        <x:f>HYPERLINK("https://scan.mypinata.cloud/ipfs/bafybeih3olry3is4e4lzm7rus5l3h6zrphcal5a7ayfkhzm5oivjro2cp4/#/block/19865747", "19865747")</x:f>
      </x:c>
      <x:c r="F211" s="4" t="e">
        <x:f>HYPERLINK("https://scan.mypinata.cloud/ipfs/bafybeih3olry3is4e4lzm7rus5l3h6zrphcal5a7ayfkhzm5oivjro2cp4/#/tx/0x8fae188e421ddb4dc369c3e526d81e9cc2acfd235e541141e4cadaf58d2cc553", "2024-03-15 21:24:25")</x:f>
      </x:c>
      <x:c r="G211" s="5">
        <x:v>1.0</x:v>
      </x:c>
      <x:c r="H211" s="5">
        <x:v>1.000000036130274</x:v>
      </x:c>
      <x:c r="I211" s="5">
        <x:v>1.0000000361135735</x:v>
      </x:c>
      <x:c r="J211" s="10" t="s">
        <x:v>470</x:v>
      </x:c>
      <x:c r="K211" s="5">
        <x:v>0.0</x:v>
      </x:c>
      <x:c r="L211" s="4" t="e">
        <x:f>HYPERLINK("https://scan.mypinata.cloud/ipfs/bafybeih3olry3is4e4lzm7rus5l3h6zrphcal5a7ayfkhzm5oivjro2cp4/#/tx/0xf515521d851c941ab76db39831456e5c2aa984709982983767fd3bc703cd6f45", "2025-02-20 23:45:45")</x:f>
      </x:c>
      <x:c r="M211" s="2" t="s">
        <x:v>28</x:v>
      </x:c>
      <x:c r="N211" s="2" t="e">
        <x:f>IFERROR(__xludf.DUMMYFUNCTION("IF(ISDATE(TO_DATE(L211)), MAX(0, ROUND(TODAY() - TO_DATE(L211)), 0), ""-"")"),497.0)</x:f>
      </x:c>
      <x:c r="O211" s="2" t="e">
        <x:f>IFERROR(__xludf.DUMMYFUNCTION("IF(ISDATE(TO_DATE(M211)), MAX(0, ROUND(TODAY() - TO_DATE(M211)), 0), ""-"")"),"-")</x:f>
      </x:c>
      <x:c r="P211" s="2" t="s">
        <x:v>28</x:v>
      </x:c>
      <x:c r="Q211" s="2" t="s">
        <x:v>28</x:v>
      </x:c>
      <x:c r="R211" s="2" t="s">
        <x:v>28</x:v>
      </x:c>
      <x:c r="S211" s="2" t="s">
        <x:v>28</x:v>
      </x:c>
      <x:c r="T211" s="2" t="s">
        <x:v>28</x:v>
      </x:c>
      <x:c r="U211" s="2" t="s">
        <x:v>28</x:v>
      </x:c>
      <x:c r="V211" s="2" t="s">
        <x:v>28</x:v>
      </x:c>
      <x:c r="W211" s="2" t="s">
        <x:v>28</x:v>
      </x:c>
      <x:c r="X211" s="2" t="s">
        <x:v>28</x:v>
      </x:c>
      <x:c r="Y211" s="2" t="s">
        <x:v>28</x:v>
      </x:c>
      <x:c r="Z211" s="9" t="s">
        <x:v>471</x:v>
      </x:c>
      <x:c r="AA211" s="57" t="str">
        <x:v>Snapshot only — run GitHub workflow</x:v>
      </x:c>
      <x:c r="AB211" s="58" t="n">
        <x:f>IFERROR(H211/G211,"")</x:f>
        <x:v>1.000000036130274</x:v>
      </x:c>
      <x:c r="AC211" s="57" t="str"/>
      <x:c r="AD211" s="57" t="str"/>
      <x:c r="AE211" s="57" t="str"/>
      <x:c r="AF211" s="57" t="str"/>
      <x:c r="AG211" s="2"/>
      <x:c r="AH211" s="2"/>
    </x:row>
    <x:row r="212" ht="15.75" customHeight="1">
      <x:c r="A212" s="2" t="s">
        <x:v>472</x:v>
      </x:c>
      <x:c r="B212" s="2" t="s">
        <x:v>473</x:v>
      </x:c>
      <x:c r="C212" s="3" t="e">
        <x:f>HYPERLINK("https://scan.mypinata.cloud/ipfs/bafybeih3olry3is4e4lzm7rus5l3h6zrphcal5a7ayfkhzm5oivjro2cp4/#/address/0xEeFebC96EE38ef13C6196d2D9534E0e74383af00", "0xEeFebC96EE38ef13C6196d2D9534E0e74383af00")</x:f>
      </x:c>
      <x:c r="D212" s="4" t="e">
        <x:f t="shared" ref="D212:D215" si="13">HYPERLINK("https://scan.mypinata.cloud/ipfs/bafybeih3olry3is4e4lzm7rus5l3h6zrphcal5a7ayfkhzm5oivjro2cp4/#/address/0x903030f7e2d6489F38B0f4F96F9b371ec7960F78", "Atropa Dev Alt")</x:f>
      </x:c>
      <x:c r="E212" s="4" t="e">
        <x:f>HYPERLINK("https://scan.mypinata.cloud/ipfs/bafybeih3olry3is4e4lzm7rus5l3h6zrphcal5a7ayfkhzm5oivjro2cp4/#/block/19865888", "19865888")</x:f>
      </x:c>
      <x:c r="F212" s="4" t="e">
        <x:f>HYPERLINK("https://scan.mypinata.cloud/ipfs/bafybeih3olry3is4e4lzm7rus5l3h6zrphcal5a7ayfkhzm5oivjro2cp4/#/tx/0x8a977d839f5c47e39c7ae129a45f2fa3ab086b0ff0b1489991db139b2d12a191", "2024-03-15 21:48:15")</x:f>
      </x:c>
      <x:c r="G212" s="5">
        <x:v>1.0</x:v>
      </x:c>
      <x:c r="H212" s="5">
        <x:v>0.0</x:v>
      </x:c>
      <x:c r="I212" s="5">
        <x:v>0.0</x:v>
      </x:c>
      <x:c r="J212" s="5">
        <x:v>0.0</x:v>
      </x:c>
      <x:c r="K212" s="5">
        <x:v>1.0</x:v>
      </x:c>
      <x:c r="L212" s="2" t="s">
        <x:v>28</x:v>
      </x:c>
      <x:c r="M212" s="4" t="e">
        <x:f>HYPERLINK("https://scan.mypinata.cloud/ipfs/bafybeih3olry3is4e4lzm7rus5l3h6zrphcal5a7ayfkhzm5oivjro2cp4/#/tx/0xba8e061d77013a2ef5b657a5826463063ad98a3fe8a7e184d6230d4560b031e0", "2024-03-15 21:49:15")</x:f>
      </x:c>
      <x:c r="N212" s="2" t="e">
        <x:f>IFERROR(__xludf.DUMMYFUNCTION("IF(ISDATE(TO_DATE(L212)), MAX(0, ROUND(TODAY() - TO_DATE(L212)), 0), ""-"")"),"-")</x:f>
      </x:c>
      <x:c r="O212" s="2" t="e">
        <x:f>IFERROR(__xludf.DUMMYFUNCTION("IF(ISDATE(TO_DATE(M212)), MAX(0, ROUND(TODAY() - TO_DATE(M212)), 0), ""-"")"),839.0)</x:f>
      </x:c>
      <x:c r="P212" s="2" t="s">
        <x:v>28</x:v>
      </x:c>
      <x:c r="Q212" s="2" t="s">
        <x:v>28</x:v>
      </x:c>
      <x:c r="R212" s="2" t="s">
        <x:v>28</x:v>
      </x:c>
      <x:c r="S212" s="2" t="s">
        <x:v>28</x:v>
      </x:c>
      <x:c r="T212" s="2" t="s">
        <x:v>28</x:v>
      </x:c>
      <x:c r="U212" s="2" t="s">
        <x:v>28</x:v>
      </x:c>
      <x:c r="V212" s="2" t="s">
        <x:v>28</x:v>
      </x:c>
      <x:c r="W212" s="2" t="s">
        <x:v>28</x:v>
      </x:c>
      <x:c r="X212" s="2" t="s">
        <x:v>28</x:v>
      </x:c>
      <x:c r="Y212" s="2" t="s">
        <x:v>28</x:v>
      </x:c>
      <x:c r="Z212" s="9" t="s">
        <x:v>474</x:v>
      </x:c>
      <x:c r="AA212" s="57" t="str">
        <x:v>Snapshot only — run GitHub workflow</x:v>
      </x:c>
      <x:c r="AB212" s="58" t="n">
        <x:f>IFERROR(H212/G212,"")</x:f>
        <x:v>0</x:v>
      </x:c>
      <x:c r="AC212" s="57" t="str"/>
      <x:c r="AD212" s="57" t="str"/>
      <x:c r="AE212" s="57" t="str"/>
      <x:c r="AF212" s="57" t="str"/>
      <x:c r="AG212" s="2"/>
      <x:c r="AH212" s="2"/>
    </x:row>
    <x:row r="213" ht="15.75" customHeight="1">
      <x:c r="A213" s="2" t="s">
        <x:v>472</x:v>
      </x:c>
      <x:c r="B213" s="2" t="s">
        <x:v>475</x:v>
      </x:c>
      <x:c r="C213" s="3" t="e">
        <x:f>HYPERLINK("https://scan.mypinata.cloud/ipfs/bafybeih3olry3is4e4lzm7rus5l3h6zrphcal5a7ayfkhzm5oivjro2cp4/#/address/0x088a0d204D02ABE2F8226122Ca2C54A01ce90704", "0x088a0d204D02ABE2F8226122Ca2C54A01ce90704")</x:f>
      </x:c>
      <x:c r="D213" s="4" t="str">
        <x:f t="shared" si="13"/>
        <x:v>Atropa Dev Alt</x:v>
      </x:c>
      <x:c r="E213" s="4" t="e">
        <x:f>HYPERLINK("https://scan.mypinata.cloud/ipfs/bafybeih3olry3is4e4lzm7rus5l3h6zrphcal5a7ayfkhzm5oivjro2cp4/#/block/19865897", "19865897")</x:f>
      </x:c>
      <x:c r="F213" s="4" t="e">
        <x:f>HYPERLINK("https://scan.mypinata.cloud/ipfs/bafybeih3olry3is4e4lzm7rus5l3h6zrphcal5a7ayfkhzm5oivjro2cp4/#/tx/0xd1179fe061af0c5aa6cfe99c05931e8999d46f23171ae59d35a48c1ccaebf9b3", "2024-03-15 21:49:45")</x:f>
      </x:c>
      <x:c r="G213" s="5">
        <x:v>1.0</x:v>
      </x:c>
      <x:c r="H213" s="5">
        <x:v>0.0</x:v>
      </x:c>
      <x:c r="I213" s="5">
        <x:v>0.0</x:v>
      </x:c>
      <x:c r="J213" s="5">
        <x:v>0.0</x:v>
      </x:c>
      <x:c r="K213" s="5">
        <x:v>1.0</x:v>
      </x:c>
      <x:c r="L213" s="2" t="s">
        <x:v>28</x:v>
      </x:c>
      <x:c r="M213" s="4" t="e">
        <x:f>HYPERLINK("https://scan.mypinata.cloud/ipfs/bafybeih3olry3is4e4lzm7rus5l3h6zrphcal5a7ayfkhzm5oivjro2cp4/#/tx/0xb84d957bc9f7eb36d18beee2e356fc687a7466b8f47d3f56dce36808b254eca0", "2024-03-15 21:50:35")</x:f>
      </x:c>
      <x:c r="N213" s="2" t="e">
        <x:f>IFERROR(__xludf.DUMMYFUNCTION("IF(ISDATE(TO_DATE(L213)), MAX(0, ROUND(TODAY() - TO_DATE(L213)), 0), ""-"")"),"-")</x:f>
      </x:c>
      <x:c r="O213" s="2" t="e">
        <x:f>IFERROR(__xludf.DUMMYFUNCTION("IF(ISDATE(TO_DATE(M213)), MAX(0, ROUND(TODAY() - TO_DATE(M213)), 0), ""-"")"),839.0)</x:f>
      </x:c>
      <x:c r="P213" s="2" t="s">
        <x:v>28</x:v>
      </x:c>
      <x:c r="Q213" s="2" t="s">
        <x:v>28</x:v>
      </x:c>
      <x:c r="R213" s="2" t="s">
        <x:v>28</x:v>
      </x:c>
      <x:c r="S213" s="2" t="s">
        <x:v>28</x:v>
      </x:c>
      <x:c r="T213" s="2" t="s">
        <x:v>28</x:v>
      </x:c>
      <x:c r="U213" s="2" t="s">
        <x:v>28</x:v>
      </x:c>
      <x:c r="V213" s="2" t="s">
        <x:v>28</x:v>
      </x:c>
      <x:c r="W213" s="2" t="s">
        <x:v>28</x:v>
      </x:c>
      <x:c r="X213" s="2" t="s">
        <x:v>28</x:v>
      </x:c>
      <x:c r="Y213" s="2" t="s">
        <x:v>28</x:v>
      </x:c>
      <x:c r="Z213" s="9" t="s">
        <x:v>474</x:v>
      </x:c>
      <x:c r="AA213" s="57" t="str">
        <x:v>Snapshot only — run GitHub workflow</x:v>
      </x:c>
      <x:c r="AB213" s="58" t="n">
        <x:f>IFERROR(H213/G213,"")</x:f>
        <x:v>0</x:v>
      </x:c>
      <x:c r="AC213" s="57" t="str"/>
      <x:c r="AD213" s="57" t="str"/>
      <x:c r="AE213" s="57" t="str"/>
      <x:c r="AF213" s="57" t="str"/>
      <x:c r="AG213" s="2"/>
      <x:c r="AH213" s="2"/>
    </x:row>
    <x:row r="214" ht="15.75" customHeight="1">
      <x:c r="A214" s="2" t="s">
        <x:v>472</x:v>
      </x:c>
      <x:c r="B214" s="2" t="s">
        <x:v>475</x:v>
      </x:c>
      <x:c r="C214" s="3" t="e">
        <x:f>HYPERLINK("https://scan.mypinata.cloud/ipfs/bafybeih3olry3is4e4lzm7rus5l3h6zrphcal5a7ayfkhzm5oivjro2cp4/#/address/0x7ec9043c321A8759Ee5F917Da943979EC70Cf8e3", "0x7ec9043c321A8759Ee5F917Da943979EC70Cf8e3")</x:f>
      </x:c>
      <x:c r="D214" s="4" t="str">
        <x:f t="shared" si="13"/>
        <x:v>Atropa Dev Alt</x:v>
      </x:c>
      <x:c r="E214" s="4" t="e">
        <x:f>HYPERLINK("https://scan.mypinata.cloud/ipfs/bafybeih3olry3is4e4lzm7rus5l3h6zrphcal5a7ayfkhzm5oivjro2cp4/#/block/19865909", "19865909")</x:f>
      </x:c>
      <x:c r="F214" s="4" t="e">
        <x:f>HYPERLINK("https://scan.mypinata.cloud/ipfs/bafybeih3olry3is4e4lzm7rus5l3h6zrphcal5a7ayfkhzm5oivjro2cp4/#/tx/0xa17e33915d9da72b539b182a025e50c2cfc4f5a95317397e7f981cc941e31c70", "2024-03-15 21:51:45")</x:f>
      </x:c>
      <x:c r="G214" s="5">
        <x:v>1.0</x:v>
      </x:c>
      <x:c r="H214" s="5">
        <x:v>1.0000006414162843</x:v>
      </x:c>
      <x:c r="I214" s="5">
        <x:v>1.0000006402552901</x:v>
      </x:c>
      <x:c r="J214" s="10" t="s">
        <x:v>476</x:v>
      </x:c>
      <x:c r="K214" s="5">
        <x:v>0.0</x:v>
      </x:c>
      <x:c r="L214" s="4" t="e">
        <x:f>HYPERLINK("https://scan.mypinata.cloud/ipfs/bafybeih3olry3is4e4lzm7rus5l3h6zrphcal5a7ayfkhzm5oivjro2cp4/#/tx/0x7d17f95f1d2c16f3ba317f10e1abc761fa3b1478be6698515d31ba134f3e9f69", "2025-02-23 02:40:15")</x:f>
      </x:c>
      <x:c r="M214" s="2" t="s">
        <x:v>28</x:v>
      </x:c>
      <x:c r="N214" s="2" t="e">
        <x:f>IFERROR(__xludf.DUMMYFUNCTION("IF(ISDATE(TO_DATE(L214)), MAX(0, ROUND(TODAY() - TO_DATE(L214)), 0), ""-"")"),495.0)</x:f>
      </x:c>
      <x:c r="O214" s="2" t="e">
        <x:f>IFERROR(__xludf.DUMMYFUNCTION("IF(ISDATE(TO_DATE(M214)), MAX(0, ROUND(TODAY() - TO_DATE(M214)), 0), ""-"")"),"-")</x:f>
      </x:c>
      <x:c r="P214" s="2" t="s">
        <x:v>28</x:v>
      </x:c>
      <x:c r="Q214" s="2" t="s">
        <x:v>28</x:v>
      </x:c>
      <x:c r="R214" s="2" t="s">
        <x:v>28</x:v>
      </x:c>
      <x:c r="S214" s="2" t="s">
        <x:v>28</x:v>
      </x:c>
      <x:c r="T214" s="2" t="s">
        <x:v>28</x:v>
      </x:c>
      <x:c r="U214" s="2" t="s">
        <x:v>28</x:v>
      </x:c>
      <x:c r="V214" s="2" t="s">
        <x:v>28</x:v>
      </x:c>
      <x:c r="W214" s="2" t="s">
        <x:v>28</x:v>
      </x:c>
      <x:c r="X214" s="2" t="s">
        <x:v>28</x:v>
      </x:c>
      <x:c r="Y214" s="2" t="s">
        <x:v>28</x:v>
      </x:c>
      <x:c r="Z214" s="9" t="s">
        <x:v>467</x:v>
      </x:c>
      <x:c r="AA214" s="57" t="str">
        <x:v>Snapshot only — run GitHub workflow</x:v>
      </x:c>
      <x:c r="AB214" s="58" t="n">
        <x:f>IFERROR(H214/G214,"")</x:f>
        <x:v>1.0000006414162843</x:v>
      </x:c>
      <x:c r="AC214" s="57" t="str"/>
      <x:c r="AD214" s="57" t="str"/>
      <x:c r="AE214" s="57" t="str"/>
      <x:c r="AF214" s="57" t="str"/>
      <x:c r="AG214" s="2"/>
      <x:c r="AH214" s="2"/>
    </x:row>
    <x:row r="215" ht="15.75" customHeight="1">
      <x:c r="A215" s="2" t="s">
        <x:v>477</x:v>
      </x:c>
      <x:c r="B215" s="2" t="s">
        <x:v>477</x:v>
      </x:c>
      <x:c r="C215" s="3" t="e">
        <x:f>HYPERLINK("https://scan.mypinata.cloud/ipfs/bafybeih3olry3is4e4lzm7rus5l3h6zrphcal5a7ayfkhzm5oivjro2cp4/#/address/0xb51dB2755C4799CAeCE05ACFA8df9506de437adD", "0xb51dB2755C4799CAeCE05ACFA8df9506de437adD")</x:f>
      </x:c>
      <x:c r="D215" s="4" t="str">
        <x:f t="shared" si="13"/>
        <x:v>Atropa Dev Alt</x:v>
      </x:c>
      <x:c r="E215" s="4" t="e">
        <x:f>HYPERLINK("https://scan.mypinata.cloud/ipfs/bafybeih3olry3is4e4lzm7rus5l3h6zrphcal5a7ayfkhzm5oivjro2cp4/#/block/20099358", "20099358")</x:f>
      </x:c>
      <x:c r="F215" s="4" t="e">
        <x:f>HYPERLINK("https://scan.mypinata.cloud/ipfs/bafybeih3olry3is4e4lzm7rus5l3h6zrphcal5a7ayfkhzm5oivjro2cp4/#/tx/0xf77cecaaeac052b668448d35f3f797ef7afc94af6f9f6ade2327a6f59e37b679", "2024-04-12 12:53:25")</x:f>
      </x:c>
      <x:c r="G215" s="5">
        <x:v>666.0</x:v>
      </x:c>
      <x:c r="H215" s="5">
        <x:v>666.0</x:v>
      </x:c>
      <x:c r="I215" s="5">
        <x:v>666.0</x:v>
      </x:c>
      <x:c r="J215" s="5">
        <x:v>0.0</x:v>
      </x:c>
      <x:c r="K215" s="10" t="s">
        <x:v>478</x:v>
      </x:c>
      <x:c r="L215" s="2" t="s">
        <x:v>28</x:v>
      </x:c>
      <x:c r="M215" s="4" t="e">
        <x:f>HYPERLINK("https://scan.mypinata.cloud/ipfs/bafybeih3olry3is4e4lzm7rus5l3h6zrphcal5a7ayfkhzm5oivjro2cp4/#/tx/0x7dbd4d27e59440daf39bc598a80a2e6b3bb8f3db9415ade32d1f5c507fe01c99", "2024-04-12 12:55:05")</x:f>
      </x:c>
      <x:c r="N215" s="2" t="e">
        <x:f>IFERROR(__xludf.DUMMYFUNCTION("IF(ISDATE(TO_DATE(L215)), MAX(0, ROUND(TODAY() - TO_DATE(L215)), 0), ""-"")"),"-")</x:f>
      </x:c>
      <x:c r="O215" s="2" t="e">
        <x:f>IFERROR(__xludf.DUMMYFUNCTION("IF(ISDATE(TO_DATE(M215)), MAX(0, ROUND(TODAY() - TO_DATE(M215)), 0), ""-"")"),811.0)</x:f>
      </x:c>
      <x:c r="P215" s="2" t="s">
        <x:v>28</x:v>
      </x:c>
      <x:c r="Q215" s="2" t="s">
        <x:v>28</x:v>
      </x:c>
      <x:c r="R215" s="2" t="s">
        <x:v>28</x:v>
      </x:c>
      <x:c r="S215" s="2" t="s">
        <x:v>28</x:v>
      </x:c>
      <x:c r="T215" s="2" t="s">
        <x:v>28</x:v>
      </x:c>
      <x:c r="U215" s="2" t="s">
        <x:v>28</x:v>
      </x:c>
      <x:c r="V215" s="2" t="s">
        <x:v>28</x:v>
      </x:c>
      <x:c r="W215" s="2" t="s">
        <x:v>28</x:v>
      </x:c>
      <x:c r="X215" s="2" t="s">
        <x:v>28</x:v>
      </x:c>
      <x:c r="Y215" s="2" t="s">
        <x:v>28</x:v>
      </x:c>
      <x:c r="Z215" s="9" t="s">
        <x:v>474</x:v>
      </x:c>
      <x:c r="AA215" s="57" t="str">
        <x:v>Snapshot only — run GitHub workflow</x:v>
      </x:c>
      <x:c r="AB215" s="58" t="n">
        <x:f>IFERROR(H215/G215,"")</x:f>
        <x:v>1</x:v>
      </x:c>
      <x:c r="AC215" s="57" t="str"/>
      <x:c r="AD215" s="57" t="str"/>
      <x:c r="AE215" s="57" t="str"/>
      <x:c r="AF215" s="57" t="str"/>
      <x:c r="AG215" s="2"/>
      <x:c r="AH215" s="2"/>
    </x:row>
    <x:row r="216" ht="15.75" customHeight="1">
      <x:c r="A216" s="2" t="s">
        <x:v>477</x:v>
      </x:c>
      <x:c r="B216" s="2" t="s">
        <x:v>477</x:v>
      </x:c>
      <x:c r="C216" s="3" t="e">
        <x:f>HYPERLINK("https://scan.mypinata.cloud/ipfs/bafybeih3olry3is4e4lzm7rus5l3h6zrphcal5a7ayfkhzm5oivjro2cp4/#/address/0x8fC9E80C26E735fe25ec524B3FC350EdFbC5980a", "0x8fC9E80C26E735fe25ec524B3FC350EdFbC5980a")</x:f>
      </x:c>
      <x:c r="D216" s="4" t="e">
        <x:f t="shared" ref="D216:D223" si="14">HYPERLINK("https://scan.mypinata.cloud/ipfs/bafybeih3olry3is4e4lzm7rus5l3h6zrphcal5a7ayfkhzm5oivjro2cp4/#/address/0x7a20189B297343CF26d8548764b04891f37F3414", "Atropa Dev")</x:f>
      </x:c>
      <x:c r="E216" s="4" t="e">
        <x:f>HYPERLINK("https://scan.mypinata.cloud/ipfs/bafybeih3olry3is4e4lzm7rus5l3h6zrphcal5a7ayfkhzm5oivjro2cp4/#/block/20099412", "20099412")</x:f>
      </x:c>
      <x:c r="F216" s="4" t="e">
        <x:f>HYPERLINK("https://scan.mypinata.cloud/ipfs/bafybeih3olry3is4e4lzm7rus5l3h6zrphcal5a7ayfkhzm5oivjro2cp4/#/tx/0x6e66dfa6fb6db1ab09b337a5b7f25dbeeda5b2b5ece4510f65339da0d663dbbf", "2024-04-12 13:02:55")</x:f>
      </x:c>
      <x:c r="G216" s="5">
        <x:v>666.0</x:v>
      </x:c>
      <x:c r="H216" s="5">
        <x:v>666.0</x:v>
      </x:c>
      <x:c r="I216" s="5">
        <x:v>666.0</x:v>
      </x:c>
      <x:c r="J216" s="5">
        <x:v>0.0</x:v>
      </x:c>
      <x:c r="K216" s="10" t="s">
        <x:v>478</x:v>
      </x:c>
      <x:c r="L216" s="2" t="s">
        <x:v>28</x:v>
      </x:c>
      <x:c r="M216" s="4" t="e">
        <x:f>HYPERLINK("https://scan.mypinata.cloud/ipfs/bafybeih3olry3is4e4lzm7rus5l3h6zrphcal5a7ayfkhzm5oivjro2cp4/#/tx/0x2840190dd35018531236d034491bb2fa774afdf2b2d8ead8bfe1277ad97840c2", "2024-04-12 13:04:25")</x:f>
      </x:c>
      <x:c r="N216" s="2" t="e">
        <x:f>IFERROR(__xludf.DUMMYFUNCTION("IF(ISDATE(TO_DATE(L216)), MAX(0, ROUND(TODAY() - TO_DATE(L216)), 0), ""-"")"),"-")</x:f>
      </x:c>
      <x:c r="O216" s="2" t="e">
        <x:f>IFERROR(__xludf.DUMMYFUNCTION("IF(ISDATE(TO_DATE(M216)), MAX(0, ROUND(TODAY() - TO_DATE(M216)), 0), ""-"")"),811.0)</x:f>
      </x:c>
      <x:c r="P216" s="2" t="s">
        <x:v>28</x:v>
      </x:c>
      <x:c r="Q216" s="2" t="s">
        <x:v>28</x:v>
      </x:c>
      <x:c r="R216" s="2" t="s">
        <x:v>28</x:v>
      </x:c>
      <x:c r="S216" s="2" t="s">
        <x:v>28</x:v>
      </x:c>
      <x:c r="T216" s="2" t="s">
        <x:v>28</x:v>
      </x:c>
      <x:c r="U216" s="2" t="s">
        <x:v>28</x:v>
      </x:c>
      <x:c r="V216" s="2" t="s">
        <x:v>28</x:v>
      </x:c>
      <x:c r="W216" s="2" t="s">
        <x:v>28</x:v>
      </x:c>
      <x:c r="X216" s="2" t="s">
        <x:v>28</x:v>
      </x:c>
      <x:c r="Y216" s="2" t="s">
        <x:v>28</x:v>
      </x:c>
      <x:c r="Z216" s="9" t="s">
        <x:v>474</x:v>
      </x:c>
      <x:c r="AA216" s="57" t="str">
        <x:v>Snapshot only — run GitHub workflow</x:v>
      </x:c>
      <x:c r="AB216" s="58" t="n">
        <x:f>IFERROR(H216/G216,"")</x:f>
        <x:v>1</x:v>
      </x:c>
      <x:c r="AC216" s="57" t="str"/>
      <x:c r="AD216" s="57" t="str"/>
      <x:c r="AE216" s="57" t="str"/>
      <x:c r="AF216" s="57" t="str"/>
      <x:c r="AG216" s="2"/>
      <x:c r="AH216" s="2"/>
    </x:row>
    <x:row r="217" ht="15.75" customHeight="1">
      <x:c r="A217" s="2" t="s">
        <x:v>477</x:v>
      </x:c>
      <x:c r="B217" s="2" t="s">
        <x:v>477</x:v>
      </x:c>
      <x:c r="C217" s="3" t="e">
        <x:f>HYPERLINK("https://scan.mypinata.cloud/ipfs/bafybeih3olry3is4e4lzm7rus5l3h6zrphcal5a7ayfkhzm5oivjro2cp4/#/address/0x91CE91421d499E24c1B5Df5768F3D47ad5fE4F80", "0x91CE91421d499E24c1B5Df5768F3D47ad5fE4F80")</x:f>
      </x:c>
      <x:c r="D217" s="4" t="str">
        <x:f t="shared" si="14"/>
        <x:v>Atropa Dev</x:v>
      </x:c>
      <x:c r="E217" s="4" t="e">
        <x:f>HYPERLINK("https://scan.mypinata.cloud/ipfs/bafybeih3olry3is4e4lzm7rus5l3h6zrphcal5a7ayfkhzm5oivjro2cp4/#/block/20099479", "20099479")</x:f>
      </x:c>
      <x:c r="F217" s="4" t="e">
        <x:f>HYPERLINK("https://scan.mypinata.cloud/ipfs/bafybeih3olry3is4e4lzm7rus5l3h6zrphcal5a7ayfkhzm5oivjro2cp4/#/tx/0xc641bcfd85b3dcb28293aecfacb793bfd146da79efb973a0eb2591b307c0cc3b", "2024-04-12 13:15:25")</x:f>
      </x:c>
      <x:c r="G217" s="5">
        <x:v>666.0</x:v>
      </x:c>
      <x:c r="H217" s="5">
        <x:v>666.0</x:v>
      </x:c>
      <x:c r="I217" s="5">
        <x:v>666.0</x:v>
      </x:c>
      <x:c r="J217" s="5">
        <x:v>0.0</x:v>
      </x:c>
      <x:c r="K217" s="10" t="s">
        <x:v>478</x:v>
      </x:c>
      <x:c r="L217" s="2" t="s">
        <x:v>28</x:v>
      </x:c>
      <x:c r="M217" s="4" t="e">
        <x:f>HYPERLINK("https://scan.mypinata.cloud/ipfs/bafybeih3olry3is4e4lzm7rus5l3h6zrphcal5a7ayfkhzm5oivjro2cp4/#/tx/0x793ab44082bf2caea91e6ec4c98382a8b234cccf4c65ee469248febb628ef3df", "2024-04-12 13:16:55")</x:f>
      </x:c>
      <x:c r="N217" s="2" t="e">
        <x:f>IFERROR(__xludf.DUMMYFUNCTION("IF(ISDATE(TO_DATE(L217)), MAX(0, ROUND(TODAY() - TO_DATE(L217)), 0), ""-"")"),"-")</x:f>
      </x:c>
      <x:c r="O217" s="2" t="e">
        <x:f>IFERROR(__xludf.DUMMYFUNCTION("IF(ISDATE(TO_DATE(M217)), MAX(0, ROUND(TODAY() - TO_DATE(M217)), 0), ""-"")"),811.0)</x:f>
      </x:c>
      <x:c r="P217" s="2" t="s">
        <x:v>28</x:v>
      </x:c>
      <x:c r="Q217" s="2" t="s">
        <x:v>28</x:v>
      </x:c>
      <x:c r="R217" s="2" t="s">
        <x:v>28</x:v>
      </x:c>
      <x:c r="S217" s="2" t="s">
        <x:v>28</x:v>
      </x:c>
      <x:c r="T217" s="2" t="s">
        <x:v>28</x:v>
      </x:c>
      <x:c r="U217" s="2" t="s">
        <x:v>28</x:v>
      </x:c>
      <x:c r="V217" s="2" t="s">
        <x:v>28</x:v>
      </x:c>
      <x:c r="W217" s="2" t="s">
        <x:v>28</x:v>
      </x:c>
      <x:c r="X217" s="2" t="s">
        <x:v>28</x:v>
      </x:c>
      <x:c r="Y217" s="2" t="s">
        <x:v>28</x:v>
      </x:c>
      <x:c r="Z217" s="9" t="s">
        <x:v>479</x:v>
      </x:c>
      <x:c r="AA217" s="57" t="str">
        <x:v>Snapshot only — run GitHub workflow</x:v>
      </x:c>
      <x:c r="AB217" s="58" t="n">
        <x:f>IFERROR(H217/G217,"")</x:f>
        <x:v>1</x:v>
      </x:c>
      <x:c r="AC217" s="57" t="str"/>
      <x:c r="AD217" s="57" t="str"/>
      <x:c r="AE217" s="57" t="str"/>
      <x:c r="AF217" s="57" t="str"/>
      <x:c r="AG217" s="2"/>
      <x:c r="AH217" s="2"/>
    </x:row>
    <x:row r="218" ht="15.75" customHeight="1">
      <x:c r="A218" s="2" t="s">
        <x:v>480</x:v>
      </x:c>
      <x:c r="B218" s="2" t="s">
        <x:v>481</x:v>
      </x:c>
      <x:c r="C218" s="3" t="e">
        <x:f>HYPERLINK("https://scan.mypinata.cloud/ipfs/bafybeih3olry3is4e4lzm7rus5l3h6zrphcal5a7ayfkhzm5oivjro2cp4/#/address/0x0767ed257BeEE2F4659e31Ab80AEE3FD2D5Cd81b", "0x0767ed257BeEE2F4659e31Ab80AEE3FD2D5Cd81b")</x:f>
      </x:c>
      <x:c r="D218" s="4" t="str">
        <x:f t="shared" si="14"/>
        <x:v>Atropa Dev</x:v>
      </x:c>
      <x:c r="E218" s="4" t="e">
        <x:f>HYPERLINK("https://scan.mypinata.cloud/ipfs/bafybeih3olry3is4e4lzm7rus5l3h6zrphcal5a7ayfkhzm5oivjro2cp4/#/block/20101510", "20101510")</x:f>
      </x:c>
      <x:c r="F218" s="4" t="e">
        <x:f>HYPERLINK("https://scan.mypinata.cloud/ipfs/bafybeih3olry3is4e4lzm7rus5l3h6zrphcal5a7ayfkhzm5oivjro2cp4/#/tx/0xdb873b692d228eb69dc3bf8596615e3e9a6143194d78285782720eda057b139d", "2024-04-12 19:27:35")</x:f>
      </x:c>
      <x:c r="G218" s="5">
        <x:v>666.0</x:v>
      </x:c>
      <x:c r="H218" s="5">
        <x:v>666.0</x:v>
      </x:c>
      <x:c r="I218" s="5">
        <x:v>665.9488481960134</x:v>
      </x:c>
      <x:c r="J218" s="5">
        <x:v>0.0</x:v>
      </x:c>
      <x:c r="K218" s="5">
        <x:v>0.0511518039866658</x:v>
      </x:c>
      <x:c r="L218" s="2" t="s">
        <x:v>28</x:v>
      </x:c>
      <x:c r="M218" s="4" t="e">
        <x:f>HYPERLINK("https://scan.mypinata.cloud/ipfs/bafybeih3olry3is4e4lzm7rus5l3h6zrphcal5a7ayfkhzm5oivjro2cp4/#/tx/0x3eac0afb72b743ed2e277bf07aa8f6698ed69548ea49562099e05ec2b2e3c7c3", "2024-12-24 20:37:25")</x:f>
      </x:c>
      <x:c r="N218" s="2" t="e">
        <x:f>IFERROR(__xludf.DUMMYFUNCTION("IF(ISDATE(TO_DATE(L218)), MAX(0, ROUND(TODAY() - TO_DATE(L218)), 0), ""-"")"),"-")</x:f>
      </x:c>
      <x:c r="O218" s="2" t="e">
        <x:f>IFERROR(__xludf.DUMMYFUNCTION("IF(ISDATE(TO_DATE(M218)), MAX(0, ROUND(TODAY() - TO_DATE(M218)), 0), ""-"")"),555.0)</x:f>
      </x:c>
      <x:c r="P218" s="6">
        <x:v>215.16</x:v>
      </x:c>
      <x:c r="Q218" s="6">
        <x:v>5343998.4493</x:v>
      </x:c>
      <x:c r="R218" s="7">
        <x:v>143296.56</x:v>
      </x:c>
      <x:c r="S218" s="7">
        <x:v>143291.0</x:v>
      </x:c>
      <x:c r="T218" s="7">
        <x:v>447.33</x:v>
      </x:c>
      <x:c r="U218" s="7">
        <x:v>2148.13</x:v>
      </x:c>
      <x:c r="V218" s="2" t="s">
        <x:v>28</x:v>
      </x:c>
      <x:c r="W218" s="2" t="s">
        <x:v>28</x:v>
      </x:c>
      <x:c r="X218" s="2" t="s">
        <x:v>28</x:v>
      </x:c>
      <x:c r="Y218" s="2" t="s">
        <x:v>28</x:v>
      </x:c>
      <x:c r="Z218" s="9" t="s">
        <x:v>474</x:v>
      </x:c>
      <x:c r="AA218" s="57" t="str">
        <x:v>Snapshot only — run GitHub workflow</x:v>
      </x:c>
      <x:c r="AB218" s="58" t="n">
        <x:f>IFERROR(H218/G218,"")</x:f>
        <x:v>1</x:v>
      </x:c>
      <x:c r="AC218" s="57" t="str"/>
      <x:c r="AD218" s="57" t="str"/>
      <x:c r="AE218" s="57" t="str"/>
      <x:c r="AF218" s="57" t="str"/>
      <x:c r="AG218" s="2"/>
      <x:c r="AH218" s="2"/>
    </x:row>
    <x:row r="219" ht="15.75" customHeight="1">
      <x:c r="A219" s="2" t="s">
        <x:v>477</x:v>
      </x:c>
      <x:c r="B219" s="2" t="s">
        <x:v>477</x:v>
      </x:c>
      <x:c r="C219" s="3" t="e">
        <x:f>HYPERLINK("https://scan.mypinata.cloud/ipfs/bafybeih3olry3is4e4lzm7rus5l3h6zrphcal5a7ayfkhzm5oivjro2cp4/#/address/0xe4DaEd98828c79f353A10950D4026D6bb1C166C5", "0xe4DaEd98828c79f353A10950D4026D6bb1C166C5")</x:f>
      </x:c>
      <x:c r="D219" s="4" t="str">
        <x:f t="shared" si="14"/>
        <x:v>Atropa Dev</x:v>
      </x:c>
      <x:c r="E219" s="4" t="e">
        <x:f>HYPERLINK("https://scan.mypinata.cloud/ipfs/bafybeih3olry3is4e4lzm7rus5l3h6zrphcal5a7ayfkhzm5oivjro2cp4/#/block/20199099", "20199099")</x:f>
      </x:c>
      <x:c r="F219" s="4" t="e">
        <x:f>HYPERLINK("https://scan.mypinata.cloud/ipfs/bafybeih3olry3is4e4lzm7rus5l3h6zrphcal5a7ayfkhzm5oivjro2cp4/#/tx/0x88181f90028e469ee6b6eda2bb6b63955a5292ff960b3899dcdd4f79d4d8d079", "2024-04-24 15:49:35")</x:f>
      </x:c>
      <x:c r="G219" s="5">
        <x:v>111.0</x:v>
      </x:c>
      <x:c r="H219" s="5">
        <x:v>0.0</x:v>
      </x:c>
      <x:c r="I219" s="5">
        <x:v>0.0</x:v>
      </x:c>
      <x:c r="J219" s="5">
        <x:v>0.0</x:v>
      </x:c>
      <x:c r="K219" s="5">
        <x:v>111.0</x:v>
      </x:c>
      <x:c r="L219" s="2" t="s">
        <x:v>28</x:v>
      </x:c>
      <x:c r="M219" s="4" t="e">
        <x:f>HYPERLINK("https://scan.mypinata.cloud/ipfs/bafybeih3olry3is4e4lzm7rus5l3h6zrphcal5a7ayfkhzm5oivjro2cp4/#/tx/0x375b7d1908dc6b6cc698e0202612797e3e5e030db04a11647278d2681d5af7a0", "2024-04-24 15:50:55")</x:f>
      </x:c>
      <x:c r="N219" s="2" t="e">
        <x:f>IFERROR(__xludf.DUMMYFUNCTION("IF(ISDATE(TO_DATE(L219)), MAX(0, ROUND(TODAY() - TO_DATE(L219)), 0), ""-"")"),"-")</x:f>
      </x:c>
      <x:c r="O219" s="2" t="e">
        <x:f>IFERROR(__xludf.DUMMYFUNCTION("IF(ISDATE(TO_DATE(M219)), MAX(0, ROUND(TODAY() - TO_DATE(M219)), 0), ""-"")"),799.0)</x:f>
      </x:c>
      <x:c r="P219" s="2" t="s">
        <x:v>28</x:v>
      </x:c>
      <x:c r="Q219" s="2" t="s">
        <x:v>28</x:v>
      </x:c>
      <x:c r="R219" s="2" t="s">
        <x:v>28</x:v>
      </x:c>
      <x:c r="S219" s="2" t="s">
        <x:v>28</x:v>
      </x:c>
      <x:c r="T219" s="2" t="s">
        <x:v>28</x:v>
      </x:c>
      <x:c r="U219" s="2" t="s">
        <x:v>28</x:v>
      </x:c>
      <x:c r="V219" s="2" t="s">
        <x:v>28</x:v>
      </x:c>
      <x:c r="W219" s="2" t="s">
        <x:v>28</x:v>
      </x:c>
      <x:c r="X219" s="2" t="s">
        <x:v>28</x:v>
      </x:c>
      <x:c r="Y219" s="2" t="s">
        <x:v>28</x:v>
      </x:c>
      <x:c r="Z219" s="9" t="s">
        <x:v>479</x:v>
      </x:c>
      <x:c r="AA219" s="57" t="str">
        <x:v>Snapshot only — run GitHub workflow</x:v>
      </x:c>
      <x:c r="AB219" s="58" t="n">
        <x:f>IFERROR(H219/G219,"")</x:f>
        <x:v>0</x:v>
      </x:c>
      <x:c r="AC219" s="57" t="str"/>
      <x:c r="AD219" s="57" t="str"/>
      <x:c r="AE219" s="57" t="str"/>
      <x:c r="AF219" s="57" t="str"/>
      <x:c r="AG219" s="2"/>
      <x:c r="AH219" s="2"/>
    </x:row>
    <x:row r="220" ht="15.75" customHeight="1">
      <x:c r="A220" s="2" t="s">
        <x:v>482</x:v>
      </x:c>
      <x:c r="B220" s="2" t="s">
        <x:v>483</x:v>
      </x:c>
      <x:c r="C220" s="3" t="e">
        <x:f>HYPERLINK("https://scan.mypinata.cloud/ipfs/bafybeih3olry3is4e4lzm7rus5l3h6zrphcal5a7ayfkhzm5oivjro2cp4/#/address/0x20Bf7bcc498b2F0f0A1e94fFec9dD00ceB59F875", "0x20Bf7bcc498b2F0f0A1e94fFec9dD00ceB59F875")</x:f>
      </x:c>
      <x:c r="D220" s="4" t="str">
        <x:f t="shared" si="14"/>
        <x:v>Atropa Dev</x:v>
      </x:c>
      <x:c r="E220" s="4" t="e">
        <x:f>HYPERLINK("https://scan.mypinata.cloud/ipfs/bafybeih3olry3is4e4lzm7rus5l3h6zrphcal5a7ayfkhzm5oivjro2cp4/#/block/20199119", "20199119")</x:f>
      </x:c>
      <x:c r="F220" s="4" t="e">
        <x:f>HYPERLINK("https://scan.mypinata.cloud/ipfs/bafybeih3olry3is4e4lzm7rus5l3h6zrphcal5a7ayfkhzm5oivjro2cp4/#/tx/0x9e4554d465a4c33a4307ea5aba8320a646800e9c6cb561a4ea2c272ffa798664", "2024-04-24 15:52:55")</x:f>
      </x:c>
      <x:c r="G220" s="5">
        <x:v>111.0</x:v>
      </x:c>
      <x:c r="H220" s="5">
        <x:v>111.0</x:v>
      </x:c>
      <x:c r="I220" s="5">
        <x:v>111.0</x:v>
      </x:c>
      <x:c r="J220" s="5">
        <x:v>0.0</x:v>
      </x:c>
      <x:c r="K220" s="5">
        <x:v>0.0</x:v>
      </x:c>
      <x:c r="L220" s="2" t="s">
        <x:v>28</x:v>
      </x:c>
      <x:c r="M220" s="2" t="s">
        <x:v>28</x:v>
      </x:c>
      <x:c r="N220" s="2" t="e">
        <x:f>IFERROR(__xludf.DUMMYFUNCTION("IF(ISDATE(TO_DATE(L220)), MAX(0, ROUND(TODAY() - TO_DATE(L220)), 0), ""-"")"),"-")</x:f>
      </x:c>
      <x:c r="O220" s="2" t="e">
        <x:f>IFERROR(__xludf.DUMMYFUNCTION("IF(ISDATE(TO_DATE(M220)), MAX(0, ROUND(TODAY() - TO_DATE(M220)), 0), ""-"")"),"-")</x:f>
      </x:c>
      <x:c r="P220" s="6">
        <x:v>4313.34</x:v>
      </x:c>
      <x:c r="Q220" s="6">
        <x:v>1.092692701747E8</x:v>
      </x:c>
      <x:c r="R220" s="7">
        <x:v>478780.74</x:v>
      </x:c>
      <x:c r="S220" s="7">
        <x:v>478781.0</x:v>
      </x:c>
      <x:c r="T220" s="7">
        <x:v>3256.2000000000003</x:v>
      </x:c>
      <x:c r="U220" s="7">
        <x:v>201683.19</x:v>
      </x:c>
      <x:c r="V220" s="2" t="s">
        <x:v>28</x:v>
      </x:c>
      <x:c r="W220" s="2" t="s">
        <x:v>28</x:v>
      </x:c>
      <x:c r="X220" s="2" t="s">
        <x:v>28</x:v>
      </x:c>
      <x:c r="Y220" s="2" t="s">
        <x:v>28</x:v>
      </x:c>
      <x:c r="Z220" s="9" t="s">
        <x:v>479</x:v>
      </x:c>
      <x:c r="AA220" s="57" t="str">
        <x:v>Snapshot only — run GitHub workflow</x:v>
      </x:c>
      <x:c r="AB220" s="58" t="n">
        <x:f>IFERROR(H220/G220,"")</x:f>
        <x:v>1</x:v>
      </x:c>
      <x:c r="AC220" s="57" t="str"/>
      <x:c r="AD220" s="57" t="str"/>
      <x:c r="AE220" s="57" t="str"/>
      <x:c r="AF220" s="57" t="str"/>
      <x:c r="AG220" s="2"/>
      <x:c r="AH220" s="2"/>
    </x:row>
    <x:row r="221" ht="15.75" customHeight="1">
      <x:c r="A221" s="2" t="s">
        <x:v>484</x:v>
      </x:c>
      <x:c r="B221" s="2" t="s">
        <x:v>485</x:v>
      </x:c>
      <x:c r="C221" s="3" t="e">
        <x:f>HYPERLINK("https://scan.mypinata.cloud/ipfs/bafybeih3olry3is4e4lzm7rus5l3h6zrphcal5a7ayfkhzm5oivjro2cp4/#/address/0xf50fCB9c3aa984C468206a1a40832EEF384e0Cb1", "0xf50fCB9c3aa984C468206a1a40832EEF384e0Cb1")</x:f>
      </x:c>
      <x:c r="D221" s="4" t="str">
        <x:f t="shared" si="14"/>
        <x:v>Atropa Dev</x:v>
      </x:c>
      <x:c r="E221" s="4" t="e">
        <x:f>HYPERLINK("https://scan.mypinata.cloud/ipfs/bafybeih3olry3is4e4lzm7rus5l3h6zrphcal5a7ayfkhzm5oivjro2cp4/#/block/20207375", "20207375")</x:f>
      </x:c>
      <x:c r="F221" s="4" t="e">
        <x:f>HYPERLINK("https://scan.mypinata.cloud/ipfs/bafybeih3olry3is4e4lzm7rus5l3h6zrphcal5a7ayfkhzm5oivjro2cp4/#/tx/0xa2c77738f8e5be975c3f52a70fe5bbf29a555df9946cdbd69542f9f276faec56", "2024-04-25 15:19:05")</x:f>
      </x:c>
      <x:c r="G221" s="5">
        <x:v>111.0</x:v>
      </x:c>
      <x:c r="H221" s="5">
        <x:v>111.0</x:v>
      </x:c>
      <x:c r="I221" s="5">
        <x:v>111.0</x:v>
      </x:c>
      <x:c r="J221" s="5">
        <x:v>0.0</x:v>
      </x:c>
      <x:c r="K221" s="5">
        <x:v>0.0</x:v>
      </x:c>
      <x:c r="L221" s="2" t="s">
        <x:v>28</x:v>
      </x:c>
      <x:c r="M221" s="2" t="s">
        <x:v>28</x:v>
      </x:c>
      <x:c r="N221" s="2" t="e">
        <x:f>IFERROR(__xludf.DUMMYFUNCTION("IF(ISDATE(TO_DATE(L221)), MAX(0, ROUND(TODAY() - TO_DATE(L221)), 0), ""-"")"),"-")</x:f>
      </x:c>
      <x:c r="O221" s="2" t="e">
        <x:f>IFERROR(__xludf.DUMMYFUNCTION("IF(ISDATE(TO_DATE(M221)), MAX(0, ROUND(TODAY() - TO_DATE(M221)), 0), ""-"")"),"-")</x:f>
      </x:c>
      <x:c r="P221" s="6">
        <x:v>3296.82</x:v>
      </x:c>
      <x:c r="Q221" s="6">
        <x:v>8.17024779158E7</x:v>
      </x:c>
      <x:c r="R221" s="7">
        <x:v>365947.02</x:v>
      </x:c>
      <x:c r="S221" s="7">
        <x:v>365948.0</x:v>
      </x:c>
      <x:c r="T221" s="7">
        <x:v>1063.8</x:v>
      </x:c>
      <x:c r="U221" s="7">
        <x:v>369049.7</x:v>
      </x:c>
      <x:c r="V221" s="2" t="s">
        <x:v>28</x:v>
      </x:c>
      <x:c r="W221" s="2" t="s">
        <x:v>28</x:v>
      </x:c>
      <x:c r="X221" s="2" t="s">
        <x:v>28</x:v>
      </x:c>
      <x:c r="Y221" s="2" t="s">
        <x:v>28</x:v>
      </x:c>
      <x:c r="Z221" s="9" t="s">
        <x:v>486</x:v>
      </x:c>
      <x:c r="AA221" s="57" t="str">
        <x:v>Snapshot only — run GitHub workflow</x:v>
      </x:c>
      <x:c r="AB221" s="58" t="n">
        <x:f>IFERROR(H221/G221,"")</x:f>
        <x:v>1</x:v>
      </x:c>
      <x:c r="AC221" s="57" t="str"/>
      <x:c r="AD221" s="57" t="str"/>
      <x:c r="AE221" s="57" t="str"/>
      <x:c r="AF221" s="57" t="str"/>
      <x:c r="AG221" s="2"/>
      <x:c r="AH221" s="2"/>
    </x:row>
    <x:row r="222" ht="15.75" customHeight="1">
      <x:c r="A222" s="2" t="s">
        <x:v>487</x:v>
      </x:c>
      <x:c r="B222" s="2" t="s">
        <x:v>488</x:v>
      </x:c>
      <x:c r="C222" s="3" t="e">
        <x:f>HYPERLINK("https://scan.mypinata.cloud/ipfs/bafybeih3olry3is4e4lzm7rus5l3h6zrphcal5a7ayfkhzm5oivjro2cp4/#/address/0x06C27C650b09f36deE21A242A5600Ad3dDFaa2F1", "0x06C27C650b09f36deE21A242A5600Ad3dDFaa2F1")</x:f>
      </x:c>
      <x:c r="D222" s="4" t="str">
        <x:f t="shared" si="14"/>
        <x:v>Atropa Dev</x:v>
      </x:c>
      <x:c r="E222" s="4" t="e">
        <x:f>HYPERLINK("https://scan.mypinata.cloud/ipfs/bafybeih3olry3is4e4lzm7rus5l3h6zrphcal5a7ayfkhzm5oivjro2cp4/#/block/20216585", "20216585")</x:f>
      </x:c>
      <x:c r="F222" s="4" t="e">
        <x:f>HYPERLINK("https://scan.mypinata.cloud/ipfs/bafybeih3olry3is4e4lzm7rus5l3h6zrphcal5a7ayfkhzm5oivjro2cp4/#/tx/0x14f01ac687775517ce7b6eb33ae70fe60e5e2c854ea7cb5a6813f67c7cc6a1d9", "2024-04-26 17:32:45")</x:f>
      </x:c>
      <x:c r="G222" s="5">
        <x:v>111.0</x:v>
      </x:c>
      <x:c r="H222" s="5">
        <x:v>111.0</x:v>
      </x:c>
      <x:c r="I222" s="5">
        <x:v>36.5</x:v>
      </x:c>
      <x:c r="J222" s="5">
        <x:v>0.0</x:v>
      </x:c>
      <x:c r="K222" s="5">
        <x:v>74.5</x:v>
      </x:c>
      <x:c r="L222" s="2" t="s">
        <x:v>28</x:v>
      </x:c>
      <x:c r="M222" s="4" t="e">
        <x:f>HYPERLINK("https://scan.mypinata.cloud/ipfs/bafybeih3olry3is4e4lzm7rus5l3h6zrphcal5a7ayfkhzm5oivjro2cp4/#/tx/0x52a4f6a4f95b9dabaeb7f6705dd15055f9b9c77e7fb3728b43e3b58acf6e327c", "2024-04-26 17:55:05")</x:f>
      </x:c>
      <x:c r="N222" s="2" t="e">
        <x:f>IFERROR(__xludf.DUMMYFUNCTION("IF(ISDATE(TO_DATE(L222)), MAX(0, ROUND(TODAY() - TO_DATE(L222)), 0), ""-"")"),"-")</x:f>
      </x:c>
      <x:c r="O222" s="2" t="e">
        <x:f>IFERROR(__xludf.DUMMYFUNCTION("IF(ISDATE(TO_DATE(M222)), MAX(0, ROUND(TODAY() - TO_DATE(M222)), 0), ""-"")"),797.0)</x:f>
      </x:c>
      <x:c r="P222" s="6">
        <x:v>4046.053</x:v>
      </x:c>
      <x:c r="Q222" s="6">
        <x:v>1.005753753732E8</x:v>
      </x:c>
      <x:c r="R222" s="7">
        <x:v>449111.883</x:v>
      </x:c>
      <x:c r="S222" s="7">
        <x:v>147681.0</x:v>
      </x:c>
      <x:c r="T222" s="7">
        <x:v>1.0</x:v>
      </x:c>
      <x:c r="U222" s="7">
        <x:v>36.9</x:v>
      </x:c>
      <x:c r="V222" s="2" t="s">
        <x:v>28</x:v>
      </x:c>
      <x:c r="W222" s="2" t="s">
        <x:v>28</x:v>
      </x:c>
      <x:c r="X222" s="2" t="s">
        <x:v>28</x:v>
      </x:c>
      <x:c r="Y222" s="2" t="s">
        <x:v>28</x:v>
      </x:c>
      <x:c r="Z222" s="9" t="s">
        <x:v>489</x:v>
      </x:c>
      <x:c r="AA222" s="57" t="str">
        <x:v>Snapshot only — run GitHub workflow</x:v>
      </x:c>
      <x:c r="AB222" s="58" t="n">
        <x:f>IFERROR(H222/G222,"")</x:f>
        <x:v>1</x:v>
      </x:c>
      <x:c r="AC222" s="57" t="str"/>
      <x:c r="AD222" s="57" t="str"/>
      <x:c r="AE222" s="57" t="str"/>
      <x:c r="AF222" s="57" t="str"/>
      <x:c r="AG222" s="2"/>
      <x:c r="AH222" s="2"/>
    </x:row>
    <x:row r="223" ht="15.75" customHeight="1">
      <x:c r="A223" s="2" t="s">
        <x:v>490</x:v>
      </x:c>
      <x:c r="B223" s="2" t="s">
        <x:v>491</x:v>
      </x:c>
      <x:c r="C223" s="3" t="e">
        <x:f>HYPERLINK("https://scan.mypinata.cloud/ipfs/bafybeih3olry3is4e4lzm7rus5l3h6zrphcal5a7ayfkhzm5oivjro2cp4/#/address/0x7674516ad438dd67A057fBc1119168d9A7d2a9B1", "0x7674516ad438dd67A057fBc1119168d9A7d2a9B1")</x:f>
      </x:c>
      <x:c r="D223" s="4" t="str">
        <x:f t="shared" si="14"/>
        <x:v>Atropa Dev</x:v>
      </x:c>
      <x:c r="E223" s="4" t="e">
        <x:f>HYPERLINK("https://scan.mypinata.cloud/ipfs/bafybeih3olry3is4e4lzm7rus5l3h6zrphcal5a7ayfkhzm5oivjro2cp4/#/block/20216738", "20216738")</x:f>
      </x:c>
      <x:c r="F223" s="4" t="e">
        <x:f>HYPERLINK("https://scan.mypinata.cloud/ipfs/bafybeih3olry3is4e4lzm7rus5l3h6zrphcal5a7ayfkhzm5oivjro2cp4/#/tx/0x0d4d2f368773f90f329d43a74987126c373fa223c5ac7fb91dad22c24b2eb76c", "2024-04-26 17:58:45")</x:f>
      </x:c>
      <x:c r="G223" s="5">
        <x:v>131.0</x:v>
      </x:c>
      <x:c r="H223" s="5">
        <x:v>131.0</x:v>
      </x:c>
      <x:c r="I223" s="5">
        <x:v>131.0</x:v>
      </x:c>
      <x:c r="J223" s="5">
        <x:v>0.0</x:v>
      </x:c>
      <x:c r="K223" s="5">
        <x:v>0.0</x:v>
      </x:c>
      <x:c r="L223" s="2" t="s">
        <x:v>28</x:v>
      </x:c>
      <x:c r="M223" s="2" t="s">
        <x:v>28</x:v>
      </x:c>
      <x:c r="N223" s="2" t="e">
        <x:f>IFERROR(__xludf.DUMMYFUNCTION("IF(ISDATE(TO_DATE(L223)), MAX(0, ROUND(TODAY() - TO_DATE(L223)), 0), ""-"")"),"-")</x:f>
      </x:c>
      <x:c r="O223" s="2" t="e">
        <x:f>IFERROR(__xludf.DUMMYFUNCTION("IF(ISDATE(TO_DATE(M223)), MAX(0, ROUND(TODAY() - TO_DATE(M223)), 0), ""-"")"),"-")</x:f>
      </x:c>
      <x:c r="P223" s="6">
        <x:v>10265.046</x:v>
      </x:c>
      <x:c r="Q223" s="6">
        <x:v>2.586752661363E8</x:v>
      </x:c>
      <x:c r="R223" s="7">
        <x:v>1344721.026</x:v>
      </x:c>
      <x:c r="S223" s="7">
        <x:v>1344721.0</x:v>
      </x:c>
      <x:c r="T223" s="7">
        <x:v>1746.86</x:v>
      </x:c>
      <x:c r="U223" s="7">
        <x:v>102652.74</x:v>
      </x:c>
      <x:c r="V223" s="2" t="s">
        <x:v>28</x:v>
      </x:c>
      <x:c r="W223" s="2" t="s">
        <x:v>28</x:v>
      </x:c>
      <x:c r="X223" s="2" t="s">
        <x:v>28</x:v>
      </x:c>
      <x:c r="Y223" s="2" t="s">
        <x:v>28</x:v>
      </x:c>
      <x:c r="Z223" s="9" t="s">
        <x:v>489</x:v>
      </x:c>
      <x:c r="AA223" s="57" t="str">
        <x:v>Snapshot only — run GitHub workflow</x:v>
      </x:c>
      <x:c r="AB223" s="58" t="n">
        <x:f>IFERROR(H223/G223,"")</x:f>
        <x:v>1</x:v>
      </x:c>
      <x:c r="AC223" s="57" t="str"/>
      <x:c r="AD223" s="57" t="str"/>
      <x:c r="AE223" s="57" t="str"/>
      <x:c r="AF223" s="57" t="str"/>
      <x:c r="AG223" s="2"/>
      <x:c r="AH223" s="2"/>
    </x:row>
    <x:row r="224" ht="15.75" customHeight="1">
      <x:c r="A224" s="2" t="s">
        <x:v>492</x:v>
      </x:c>
      <x:c r="B224" s="2" t="s">
        <x:v>493</x:v>
      </x:c>
      <x:c r="C224" s="3" t="e">
        <x:f>HYPERLINK("https://scan.mypinata.cloud/ipfs/bafybeih3olry3is4e4lzm7rus5l3h6zrphcal5a7ayfkhzm5oivjro2cp4/#/address/0x8B090509eAe0fEB4A0B934de1b4345161fA9a62d", "0x8B090509eAe0fEB4A0B934de1b4345161fA9a62d")</x:f>
      </x:c>
      <x:c r="D224" s="4" t="e">
        <x:f>HYPERLINK("https://scan.mypinata.cloud/ipfs/bafybeih3olry3is4e4lzm7rus5l3h6zrphcal5a7ayfkhzm5oivjro2cp4/#/address/0x903030f7e2d6489F38B0f4F96F9b371ec7960F78", "Atropa Dev Alt")</x:f>
      </x:c>
      <x:c r="E224" s="4" t="e">
        <x:f>HYPERLINK("https://scan.mypinata.cloud/ipfs/bafybeih3olry3is4e4lzm7rus5l3h6zrphcal5a7ayfkhzm5oivjro2cp4/#/block/20234406", "20234406")</x:f>
      </x:c>
      <x:c r="F224" s="4" t="e">
        <x:f>HYPERLINK("https://scan.mypinata.cloud/ipfs/bafybeih3olry3is4e4lzm7rus5l3h6zrphcal5a7ayfkhzm5oivjro2cp4/#/tx/0x1d5ee05a24f56601ffe0fcb3a779e1849a534c7e3761c7815adcead19856b706", "2024-04-28 20:22:35")</x:f>
      </x:c>
      <x:c r="G224" s="5">
        <x:v>20.0</x:v>
      </x:c>
      <x:c r="H224" s="5">
        <x:v>20.0</x:v>
      </x:c>
      <x:c r="I224" s="5">
        <x:v>20.0</x:v>
      </x:c>
      <x:c r="J224" s="5">
        <x:v>0.0</x:v>
      </x:c>
      <x:c r="K224" s="5">
        <x:v>0.0</x:v>
      </x:c>
      <x:c r="L224" s="2" t="s">
        <x:v>28</x:v>
      </x:c>
      <x:c r="M224" s="2" t="s">
        <x:v>28</x:v>
      </x:c>
      <x:c r="N224" s="2" t="e">
        <x:f>IFERROR(__xludf.DUMMYFUNCTION("IF(ISDATE(TO_DATE(L224)), MAX(0, ROUND(TODAY() - TO_DATE(L224)), 0), ""-"")"),"-")</x:f>
      </x:c>
      <x:c r="O224" s="2" t="e">
        <x:f>IFERROR(__xludf.DUMMYFUNCTION("IF(ISDATE(TO_DATE(M224)), MAX(0, ROUND(TODAY() - TO_DATE(M224)), 0), ""-"")"),"-")</x:f>
      </x:c>
      <x:c r="P224" s="6">
        <x:v>47719.73</x:v>
      </x:c>
      <x:c r="Q224" s="6">
        <x:v>1.18275391503479E9</x:v>
      </x:c>
      <x:c r="R224" s="7">
        <x:v>954394.6</x:v>
      </x:c>
      <x:c r="S224" s="7">
        <x:v>954395.0</x:v>
      </x:c>
      <x:c r="T224" s="7">
        <x:v>657.87</x:v>
      </x:c>
      <x:c r="U224" s="7">
        <x:v>161681.59</x:v>
      </x:c>
      <x:c r="V224" s="2" t="s">
        <x:v>28</x:v>
      </x:c>
      <x:c r="W224" s="2" t="s">
        <x:v>28</x:v>
      </x:c>
      <x:c r="X224" s="2" t="s">
        <x:v>28</x:v>
      </x:c>
      <x:c r="Y224" s="2" t="s">
        <x:v>28</x:v>
      </x:c>
      <x:c r="Z224" s="9" t="s">
        <x:v>489</x:v>
      </x:c>
      <x:c r="AA224" s="57" t="str">
        <x:v>Snapshot only — run GitHub workflow</x:v>
      </x:c>
      <x:c r="AB224" s="58" t="n">
        <x:f>IFERROR(H224/G224,"")</x:f>
        <x:v>1</x:v>
      </x:c>
      <x:c r="AC224" s="57" t="str"/>
      <x:c r="AD224" s="57" t="str"/>
      <x:c r="AE224" s="57" t="str"/>
      <x:c r="AF224" s="57" t="str"/>
      <x:c r="AG224" s="2"/>
      <x:c r="AH224" s="2"/>
    </x:row>
    <x:row r="225" ht="15.75" customHeight="1">
      <x:c r="A225" s="11" t="s">
        <x:v>494</x:v>
      </x:c>
      <x:c r="B225" s="2" t="s">
        <x:v>495</x:v>
      </x:c>
      <x:c r="C225" s="3" t="e">
        <x:f>HYPERLINK("https://scan.mypinata.cloud/ipfs/bafybeih3olry3is4e4lzm7rus5l3h6zrphcal5a7ayfkhzm5oivjro2cp4/#/address/0xf0d7962C8153b2445127e8Ca5361578f9F5D0957", "0xf0d7962C8153b2445127e8Ca5361578f9F5D0957")</x:f>
      </x:c>
      <x:c r="D225" s="4" t="e">
        <x:f t="shared" ref="D225:D253" si="15">HYPERLINK("https://scan.mypinata.cloud/ipfs/bafybeih3olry3is4e4lzm7rus5l3h6zrphcal5a7ayfkhzm5oivjro2cp4/#/address/0x7a20189B297343CF26d8548764b04891f37F3414", "Atropa Dev")</x:f>
      </x:c>
      <x:c r="E225" s="4" t="e">
        <x:f>HYPERLINK("https://scan.mypinata.cloud/ipfs/bafybeih3olry3is4e4lzm7rus5l3h6zrphcal5a7ayfkhzm5oivjro2cp4/#/block/20426475", "20426475")</x:f>
      </x:c>
      <x:c r="F225" s="4" t="e">
        <x:f>HYPERLINK("https://scan.mypinata.cloud/ipfs/bafybeih3olry3is4e4lzm7rus5l3h6zrphcal5a7ayfkhzm5oivjro2cp4/#/tx/0xf5cad5a4ec6ab8aff269d4ae8e89e711b1fef15b6b6f9695fee3c5aabd081612", "2024-05-21 15:56:55")</x:f>
      </x:c>
      <x:c r="G225" s="5">
        <x:v>20.0</x:v>
      </x:c>
      <x:c r="H225" s="5">
        <x:v>19.0</x:v>
      </x:c>
      <x:c r="I225" s="5">
        <x:v>19.0</x:v>
      </x:c>
      <x:c r="J225" s="5">
        <x:v>0.0</x:v>
      </x:c>
      <x:c r="K225" s="5">
        <x:v>1.0</x:v>
      </x:c>
      <x:c r="L225" s="2" t="s">
        <x:v>28</x:v>
      </x:c>
      <x:c r="M225" s="4" t="e">
        <x:f>HYPERLINK("https://scan.mypinata.cloud/ipfs/bafybeih3olry3is4e4lzm7rus5l3h6zrphcal5a7ayfkhzm5oivjro2cp4/#/tx/0x2778abe464934d16e39af02bd03ffba3f6eef7e819dc80a83013a45b3c3a4343", "2024-07-25 03:38:25")</x:f>
      </x:c>
      <x:c r="N225" s="2" t="e">
        <x:f>IFERROR(__xludf.DUMMYFUNCTION("IF(ISDATE(TO_DATE(L225)), MAX(0, ROUND(TODAY() - TO_DATE(L225)), 0), ""-"")"),"-")</x:f>
      </x:c>
      <x:c r="O225" s="2" t="e">
        <x:f>IFERROR(__xludf.DUMMYFUNCTION("IF(ISDATE(TO_DATE(M225)), MAX(0, ROUND(TODAY() - TO_DATE(M225)), 0), ""-"")"),708.0)</x:f>
      </x:c>
      <x:c r="P225" s="6">
        <x:v>4037.91</x:v>
      </x:c>
      <x:c r="Q225" s="6">
        <x:v>1.00562493424E8</x:v>
      </x:c>
      <x:c r="R225" s="7">
        <x:v>76720.29</x:v>
      </x:c>
      <x:c r="S225" s="7">
        <x:v>76720.0</x:v>
      </x:c>
      <x:c r="T225" s="7">
        <x:v>41.27</x:v>
      </x:c>
      <x:c r="U225" s="7">
        <x:v>365.68</x:v>
      </x:c>
      <x:c r="V225" s="2" t="s">
        <x:v>28</x:v>
      </x:c>
      <x:c r="W225" s="2" t="s">
        <x:v>28</x:v>
      </x:c>
      <x:c r="X225" s="2" t="s">
        <x:v>28</x:v>
      </x:c>
      <x:c r="Y225" s="2" t="s">
        <x:v>28</x:v>
      </x:c>
      <x:c r="Z225" s="9" t="s">
        <x:v>496</x:v>
      </x:c>
      <x:c r="AA225" s="57" t="str">
        <x:v>Snapshot only — run GitHub workflow</x:v>
      </x:c>
      <x:c r="AB225" s="58" t="n">
        <x:f>IFERROR(H225/G225,"")</x:f>
        <x:v>0.95</x:v>
      </x:c>
      <x:c r="AC225" s="57" t="str"/>
      <x:c r="AD225" s="57" t="str"/>
      <x:c r="AE225" s="57" t="str"/>
      <x:c r="AF225" s="57" t="str"/>
      <x:c r="AG225" s="2"/>
      <x:c r="AH225" s="2"/>
    </x:row>
    <x:row r="226" ht="15.75" customHeight="1">
      <x:c r="A226" s="2" t="s">
        <x:v>497</x:v>
      </x:c>
      <x:c r="B226" s="2" t="s">
        <x:v>498</x:v>
      </x:c>
      <x:c r="C226" s="3" t="e">
        <x:f>HYPERLINK("https://scan.mypinata.cloud/ipfs/bafybeih3olry3is4e4lzm7rus5l3h6zrphcal5a7ayfkhzm5oivjro2cp4/#/address/0xA2262D7728C689526693aE893D0fD8a352C7073C", "0xA2262D7728C689526693aE893D0fD8a352C7073C")</x:f>
      </x:c>
      <x:c r="D226" s="4" t="str">
        <x:f t="shared" si="15"/>
        <x:v>Atropa Dev</x:v>
      </x:c>
      <x:c r="E226" s="4" t="e">
        <x:f>HYPERLINK("https://scan.mypinata.cloud/ipfs/bafybeih3olry3is4e4lzm7rus5l3h6zrphcal5a7ayfkhzm5oivjro2cp4/#/block/20486200", "20486200")</x:f>
      </x:c>
      <x:c r="F226" s="4" t="e">
        <x:f>HYPERLINK("https://scan.mypinata.cloud/ipfs/bafybeih3olry3is4e4lzm7rus5l3h6zrphcal5a7ayfkhzm5oivjro2cp4/#/tx/0xf5e9f79ed894c90c226e9ce4724dab4c7f1e8766dc8e97aee3ad473271770221", "2024-05-28 17:04:35")</x:f>
      </x:c>
      <x:c r="G226" s="5">
        <x:v>0.0</x:v>
      </x:c>
      <x:c r="H226" s="5">
        <x:v>69543.0</x:v>
      </x:c>
      <x:c r="I226" s="5">
        <x:v>69543.0</x:v>
      </x:c>
      <x:c r="J226" s="5">
        <x:v>6.9543E17</x:v>
      </x:c>
      <x:c r="K226" s="10" t="s">
        <x:v>499</x:v>
      </x:c>
      <x:c r="L226" s="4" t="e">
        <x:f>HYPERLINK("https://scan.mypinata.cloud/ipfs/bafybeih3olry3is4e4lzm7rus5l3h6zrphcal5a7ayfkhzm5oivjro2cp4/#/tx/0x56cc4800e044e6c33d817731160de154ee3a3d40d91a1bc6dd7aa8e876f0a645", "2025-02-27 12:42:35")</x:f>
      </x:c>
      <x:c r="M226" s="4" t="e">
        <x:f>HYPERLINK("https://scan.mypinata.cloud/ipfs/bafybeih3olry3is4e4lzm7rus5l3h6zrphcal5a7ayfkhzm5oivjro2cp4/#/tx/0x16491cb2cfe86518091f3ddd7789d2c5f78673fb25b8566a85d271cc1f8e9cbd", "2024-05-28 17:56:05")</x:f>
      </x:c>
      <x:c r="N226" s="2" t="e">
        <x:f>IFERROR(__xludf.DUMMYFUNCTION("IF(ISDATE(TO_DATE(L226)), MAX(0, ROUND(TODAY() - TO_DATE(L226)), 0), ""-"")"),490.0)</x:f>
      </x:c>
      <x:c r="O226" s="2" t="e">
        <x:f>IFERROR(__xludf.DUMMYFUNCTION("IF(ISDATE(TO_DATE(M226)), MAX(0, ROUND(TODAY() - TO_DATE(M226)), 0), ""-"")"),765.0)</x:f>
      </x:c>
      <x:c r="P226" s="6">
        <x:v>2.44</x:v>
      </x:c>
      <x:c r="Q226" s="6">
        <x:v>60465.3669</x:v>
      </x:c>
      <x:c r="R226" s="7">
        <x:v>168540.56</x:v>
      </x:c>
      <x:c r="S226" s="7">
        <x:v>167591.0</x:v>
      </x:c>
      <x:c r="T226" s="7">
        <x:v>37.15</x:v>
      </x:c>
      <x:c r="U226" s="7">
        <x:v>2552.69</x:v>
      </x:c>
      <x:c r="V226" s="2" t="s">
        <x:v>28</x:v>
      </x:c>
      <x:c r="W226" s="2" t="s">
        <x:v>28</x:v>
      </x:c>
      <x:c r="X226" s="2" t="s">
        <x:v>28</x:v>
      </x:c>
      <x:c r="Y226" s="2" t="s">
        <x:v>28</x:v>
      </x:c>
      <x:c r="Z226" s="9" t="s">
        <x:v>500</x:v>
      </x:c>
      <x:c r="AA226" s="60" t="str">
        <x:v>Snapshot only — run GitHub workflow</x:v>
      </x:c>
      <x:c r="AB226" s="61" t="str">
        <x:f>IFERROR(H226/G226,"")</x:f>
      </x:c>
      <x:c r="AC226" s="60" t="str"/>
      <x:c r="AD226" s="60" t="str"/>
      <x:c r="AE226" s="60" t="str"/>
      <x:c r="AF226" s="60" t="str"/>
    </x:row>
    <x:row r="227" ht="15.75" customHeight="1">
      <x:c r="A227" s="2" t="s">
        <x:v>501</x:v>
      </x:c>
      <x:c r="B227" s="2" t="s">
        <x:v>502</x:v>
      </x:c>
      <x:c r="C227" s="3" t="e">
        <x:f>HYPERLINK("https://scan.mypinata.cloud/ipfs/bafybeih3olry3is4e4lzm7rus5l3h6zrphcal5a7ayfkhzm5oivjro2cp4/#/address/0x2fc636E7fDF9f3E8d61033103052079781a6e7D2", "0x2fc636E7fDF9f3E8d61033103052079781a6e7D2")</x:f>
      </x:c>
      <x:c r="D227" s="4" t="str">
        <x:f t="shared" si="15"/>
        <x:v>Atropa Dev</x:v>
      </x:c>
      <x:c r="E227" s="4" t="e">
        <x:f>HYPERLINK("https://scan.mypinata.cloud/ipfs/bafybeih3olry3is4e4lzm7rus5l3h6zrphcal5a7ayfkhzm5oivjro2cp4/#/block/20495248", "20495248")</x:f>
      </x:c>
      <x:c r="F227" s="4" t="e">
        <x:f>HYPERLINK("https://scan.mypinata.cloud/ipfs/bafybeih3olry3is4e4lzm7rus5l3h6zrphcal5a7ayfkhzm5oivjro2cp4/#/tx/0x446209592368924b0858c9b2801d59993750bf4fd36d72d98d67f7e8f1cca98e", "2024-05-29 18:36:25")</x:f>
      </x:c>
      <x:c r="G227" s="5">
        <x:v>0.0</x:v>
      </x:c>
      <x:c r="H227" s="5">
        <x:v>928155.0</x:v>
      </x:c>
      <x:c r="I227" s="5">
        <x:v>928155.0</x:v>
      </x:c>
      <x:c r="J227" s="5">
        <x:v>9.28155E17</x:v>
      </x:c>
      <x:c r="K227" s="5">
        <x:v>0.0</x:v>
      </x:c>
      <x:c r="L227" s="4" t="e">
        <x:f>HYPERLINK("https://scan.mypinata.cloud/ipfs/bafybeih3olry3is4e4lzm7rus5l3h6zrphcal5a7ayfkhzm5oivjro2cp4/#/tx/0x61b7125c9393f0e4a974fc47065cd500984f4a294875f751dcd5789fbc058a27", "2025-02-27 13:34:55")</x:f>
      </x:c>
      <x:c r="M227" s="2" t="s">
        <x:v>28</x:v>
      </x:c>
      <x:c r="N227" s="2" t="e">
        <x:f>IFERROR(__xludf.DUMMYFUNCTION("IF(ISDATE(TO_DATE(L227)), MAX(0, ROUND(TODAY() - TO_DATE(L227)), 0), ""-"")"),490.0)</x:f>
      </x:c>
      <x:c r="O227" s="2" t="e">
        <x:f>IFERROR(__xludf.DUMMYFUNCTION("IF(ISDATE(TO_DATE(M227)), MAX(0, ROUND(TODAY() - TO_DATE(M227)), 0), ""-"")"),"-")</x:f>
      </x:c>
      <x:c r="P227" s="6">
        <x:v>0.04742</x:v>
      </x:c>
      <x:c r="Q227" s="6">
        <x:v>1172.5665</x:v>
      </x:c>
      <x:c r="R227" s="7">
        <x:v>43300.3875</x:v>
      </x:c>
      <x:c r="S227" s="7">
        <x:v>43306.0</x:v>
      </x:c>
      <x:c r="T227" s="7">
        <x:v>8.84</x:v>
      </x:c>
      <x:c r="U227" s="7">
        <x:v>328.74</x:v>
      </x:c>
      <x:c r="V227" s="2" t="s">
        <x:v>28</x:v>
      </x:c>
      <x:c r="W227" s="2" t="s">
        <x:v>28</x:v>
      </x:c>
      <x:c r="X227" s="2" t="s">
        <x:v>28</x:v>
      </x:c>
      <x:c r="Y227" s="2" t="s">
        <x:v>28</x:v>
      </x:c>
      <x:c r="Z227" s="9" t="s">
        <x:v>503</x:v>
      </x:c>
      <x:c r="AA227" s="60" t="str">
        <x:v>Snapshot only — run GitHub workflow</x:v>
      </x:c>
      <x:c r="AB227" s="61" t="str">
        <x:f>IFERROR(H227/G227,"")</x:f>
      </x:c>
      <x:c r="AC227" s="60" t="str"/>
      <x:c r="AD227" s="60" t="str"/>
      <x:c r="AE227" s="60" t="str"/>
      <x:c r="AF227" s="60" t="str"/>
    </x:row>
    <x:row r="228" ht="15.75" customHeight="1">
      <x:c r="A228" s="12" t="s">
        <x:v>504</x:v>
      </x:c>
      <x:c r="B228" s="12" t="s">
        <x:v>505</x:v>
      </x:c>
      <x:c r="C228" s="13" t="e">
        <x:f>HYPERLINK("https://scan.mypinata.cloud/ipfs/bafybeih3olry3is4e4lzm7rus5l3h6zrphcal5a7ayfkhzm5oivjro2cp4/#/address/0xa96BcbeD7F01de6CEEd14fC86d90F21a36dE2143", "0xa96BcbeD7F01de6CEEd14fC86d90F21a36dE2143")</x:f>
      </x:c>
      <x:c r="D228" s="14" t="str">
        <x:f t="shared" si="15"/>
        <x:v>Atropa Dev</x:v>
      </x:c>
      <x:c r="E228" s="14" t="e">
        <x:f>HYPERLINK("https://scan.mypinata.cloud/ipfs/bafybeih3olry3is4e4lzm7rus5l3h6zrphcal5a7ayfkhzm5oivjro2cp4/#/block/20557399", "20557399")</x:f>
      </x:c>
      <x:c r="F228" s="14" t="e">
        <x:f>HYPERLINK("https://scan.mypinata.cloud/ipfs/bafybeih3olry3is4e4lzm7rus5l3h6zrphcal5a7ayfkhzm5oivjro2cp4/#/tx/0xbdfe112a79c9e3c48d88a974c7ce5913778884ed2e83ee92c19b4b7dfb249aef", "2024-06-06 01:51:55")</x:f>
      </x:c>
      <x:c r="G228" s="15">
        <x:v>0.0</x:v>
      </x:c>
      <x:c r="H228" s="15">
        <x:v>7.1893297E7</x:v>
      </x:c>
      <x:c r="I228" s="15">
        <x:v>7.1893297E7</x:v>
      </x:c>
      <x:c r="J228" s="15">
        <x:v>7.1893297E17</x:v>
      </x:c>
      <x:c r="K228" s="15">
        <x:v>0.0</x:v>
      </x:c>
      <x:c r="L228" s="14" t="e">
        <x:f>HYPERLINK("https://scan.mypinata.cloud/ipfs/bafybeih3olry3is4e4lzm7rus5l3h6zrphcal5a7ayfkhzm5oivjro2cp4/#/tx/0x48302d38afb0bfbd03a1abcab56c1c37b699916df1acbf20c5cb20bd1d36c91b", "2025-02-27 14:35:25")</x:f>
      </x:c>
      <x:c r="M228" s="16" t="s">
        <x:v>28</x:v>
      </x:c>
      <x:c r="N228" s="16" t="e">
        <x:f>IFERROR(__xludf.DUMMYFUNCTION("IF(ISDATE(TO_DATE(L228)), MAX(0, ROUND(TODAY() - TO_DATE(L228)), 0), ""-"")"),490.0)</x:f>
      </x:c>
      <x:c r="O228" s="16" t="e">
        <x:f>IFERROR(__xludf.DUMMYFUNCTION("IF(ISDATE(TO_DATE(M228)), MAX(0, ROUND(TODAY() - TO_DATE(M228)), 0), ""-"")"),"-")</x:f>
      </x:c>
      <x:c r="P228" s="16" t="s">
        <x:v>28</x:v>
      </x:c>
      <x:c r="Q228" s="16" t="s">
        <x:v>28</x:v>
      </x:c>
      <x:c r="R228" s="16" t="s">
        <x:v>28</x:v>
      </x:c>
      <x:c r="S228" s="16" t="s">
        <x:v>28</x:v>
      </x:c>
      <x:c r="T228" s="16" t="s">
        <x:v>28</x:v>
      </x:c>
      <x:c r="U228" s="16" t="s">
        <x:v>28</x:v>
      </x:c>
      <x:c r="V228" s="16" t="s">
        <x:v>28</x:v>
      </x:c>
      <x:c r="W228" s="16" t="s">
        <x:v>28</x:v>
      </x:c>
      <x:c r="X228" s="16" t="s">
        <x:v>28</x:v>
      </x:c>
      <x:c r="Y228" s="16" t="s">
        <x:v>28</x:v>
      </x:c>
      <x:c r="Z228" s="19" t="s">
        <x:v>506</x:v>
      </x:c>
      <x:c r="AA228" s="60" t="str">
        <x:v>Snapshot only — run GitHub workflow</x:v>
      </x:c>
      <x:c r="AB228" s="61" t="str">
        <x:f>IFERROR(H228/G228,"")</x:f>
      </x:c>
      <x:c r="AC228" s="60" t="str"/>
      <x:c r="AD228" s="60" t="str"/>
      <x:c r="AE228" s="60" t="str"/>
      <x:c r="AF228" s="60" t="str"/>
    </x:row>
    <x:row r="229" ht="15.75" customHeight="1">
      <x:c r="A229" s="12" t="s">
        <x:v>504</x:v>
      </x:c>
      <x:c r="B229" s="12" t="s">
        <x:v>505</x:v>
      </x:c>
      <x:c r="C229" s="13" t="e">
        <x:f>HYPERLINK("https://scan.mypinata.cloud/ipfs/bafybeih3olry3is4e4lzm7rus5l3h6zrphcal5a7ayfkhzm5oivjro2cp4/#/address/0x2b943Bf3cFc3B7A42DC7d13898171802BCD3Aea9", "0x2b943Bf3cFc3B7A42DC7d13898171802BCD3Aea9")</x:f>
      </x:c>
      <x:c r="D229" s="14" t="str">
        <x:f t="shared" si="15"/>
        <x:v>Atropa Dev</x:v>
      </x:c>
      <x:c r="E229" s="14" t="e">
        <x:f>HYPERLINK("https://scan.mypinata.cloud/ipfs/bafybeih3olry3is4e4lzm7rus5l3h6zrphcal5a7ayfkhzm5oivjro2cp4/#/block/20558141", "20558141")</x:f>
      </x:c>
      <x:c r="F229" s="14" t="e">
        <x:f>HYPERLINK("https://scan.mypinata.cloud/ipfs/bafybeih3olry3is4e4lzm7rus5l3h6zrphcal5a7ayfkhzm5oivjro2cp4/#/tx/0xaf9cb8a931e9097ae2f1586310ced0dfce0ef51597b094b1f4fb01e90b123402", "2024-06-06 03:56:25")</x:f>
      </x:c>
      <x:c r="G229" s="15">
        <x:v>1.0</x:v>
      </x:c>
      <x:c r="H229" s="15">
        <x:v>441.0</x:v>
      </x:c>
      <x:c r="I229" s="15">
        <x:v>441.0</x:v>
      </x:c>
      <x:c r="J229" s="15">
        <x:v>440.0</x:v>
      </x:c>
      <x:c r="K229" s="15">
        <x:v>0.0</x:v>
      </x:c>
      <x:c r="L229" s="14" t="e">
        <x:f>HYPERLINK("https://scan.mypinata.cloud/ipfs/bafybeih3olry3is4e4lzm7rus5l3h6zrphcal5a7ayfkhzm5oivjro2cp4/#/tx/0x8d7eed683b6ee3a5ce2eaa6a8f7e48ea0bb5c27fb9c9dc86ec86d6fab16fcb6b", "2024-07-31 16:10:05")</x:f>
      </x:c>
      <x:c r="M229" s="16" t="s">
        <x:v>28</x:v>
      </x:c>
      <x:c r="N229" s="16" t="e">
        <x:f>IFERROR(__xludf.DUMMYFUNCTION("IF(ISDATE(TO_DATE(L229)), MAX(0, ROUND(TODAY() - TO_DATE(L229)), 0), ""-"")"),701.0)</x:f>
      </x:c>
      <x:c r="O229" s="16" t="e">
        <x:f>IFERROR(__xludf.DUMMYFUNCTION("IF(ISDATE(TO_DATE(M229)), MAX(0, ROUND(TODAY() - TO_DATE(M229)), 0), ""-"")"),"-")</x:f>
      </x:c>
      <x:c r="P229" s="16" t="s">
        <x:v>28</x:v>
      </x:c>
      <x:c r="Q229" s="16" t="s">
        <x:v>28</x:v>
      </x:c>
      <x:c r="R229" s="16" t="s">
        <x:v>28</x:v>
      </x:c>
      <x:c r="S229" s="16" t="s">
        <x:v>28</x:v>
      </x:c>
      <x:c r="T229" s="16" t="s">
        <x:v>28</x:v>
      </x:c>
      <x:c r="U229" s="16" t="s">
        <x:v>28</x:v>
      </x:c>
      <x:c r="V229" s="16" t="s">
        <x:v>28</x:v>
      </x:c>
      <x:c r="W229" s="16" t="s">
        <x:v>28</x:v>
      </x:c>
      <x:c r="X229" s="16" t="s">
        <x:v>28</x:v>
      </x:c>
      <x:c r="Y229" s="16" t="s">
        <x:v>28</x:v>
      </x:c>
      <x:c r="Z229" s="19" t="s">
        <x:v>507</x:v>
      </x:c>
      <x:c r="AA229" s="60" t="str">
        <x:v>Snapshot only — run GitHub workflow</x:v>
      </x:c>
      <x:c r="AB229" s="61" t="n">
        <x:f>IFERROR(H229/G229,"")</x:f>
        <x:v>441</x:v>
      </x:c>
      <x:c r="AC229" s="60" t="str"/>
      <x:c r="AD229" s="60" t="str"/>
      <x:c r="AE229" s="60" t="str"/>
      <x:c r="AF229" s="60" t="str"/>
    </x:row>
    <x:row r="230" ht="15.75" customHeight="1">
      <x:c r="A230" s="12" t="s">
        <x:v>504</x:v>
      </x:c>
      <x:c r="B230" s="12" t="s">
        <x:v>505</x:v>
      </x:c>
      <x:c r="C230" s="13" t="e">
        <x:f>HYPERLINK("https://scan.mypinata.cloud/ipfs/bafybeih3olry3is4e4lzm7rus5l3h6zrphcal5a7ayfkhzm5oivjro2cp4/#/address/0x17E136fD4c821ae25A611fAF187753B6e84736a4", "0x17E136fD4c821ae25A611fAF187753B6e84736a4")</x:f>
      </x:c>
      <x:c r="D230" s="14" t="str">
        <x:f t="shared" si="15"/>
        <x:v>Atropa Dev</x:v>
      </x:c>
      <x:c r="E230" s="14" t="e">
        <x:f>HYPERLINK("https://scan.mypinata.cloud/ipfs/bafybeih3olry3is4e4lzm7rus5l3h6zrphcal5a7ayfkhzm5oivjro2cp4/#/block/20558625", "20558625")</x:f>
      </x:c>
      <x:c r="F230" s="14" t="e">
        <x:f>HYPERLINK("https://scan.mypinata.cloud/ipfs/bafybeih3olry3is4e4lzm7rus5l3h6zrphcal5a7ayfkhzm5oivjro2cp4/#/tx/0xa72265e82fac04aea2a79549f00ec8c90358fc0a79fa3da6720c2ffc9e878d6d", "2024-06-06 05:19:15")</x:f>
      </x:c>
      <x:c r="G230" s="15">
        <x:v>1.0</x:v>
      </x:c>
      <x:c r="H230" s="15">
        <x:v>4.0</x:v>
      </x:c>
      <x:c r="I230" s="15">
        <x:v>4.0</x:v>
      </x:c>
      <x:c r="J230" s="15">
        <x:v>3.0</x:v>
      </x:c>
      <x:c r="K230" s="15">
        <x:v>0.0</x:v>
      </x:c>
      <x:c r="L230" s="14" t="e">
        <x:f>HYPERLINK("https://scan.mypinata.cloud/ipfs/bafybeih3olry3is4e4lzm7rus5l3h6zrphcal5a7ayfkhzm5oivjro2cp4/#/tx/0xeeab7098631a53823003bcc56df1081c4ca22e10730df1f86f26cb565215e431", "2024-06-06 05:24:35")</x:f>
      </x:c>
      <x:c r="M230" s="16" t="s">
        <x:v>28</x:v>
      </x:c>
      <x:c r="N230" s="16" t="e">
        <x:f>IFERROR(__xludf.DUMMYFUNCTION("IF(ISDATE(TO_DATE(L230)), MAX(0, ROUND(TODAY() - TO_DATE(L230)), 0), ""-"")"),757.0)</x:f>
      </x:c>
      <x:c r="O230" s="16" t="e">
        <x:f>IFERROR(__xludf.DUMMYFUNCTION("IF(ISDATE(TO_DATE(M230)), MAX(0, ROUND(TODAY() - TO_DATE(M230)), 0), ""-"")"),"-")</x:f>
      </x:c>
      <x:c r="P230" s="16" t="s">
        <x:v>28</x:v>
      </x:c>
      <x:c r="Q230" s="16" t="s">
        <x:v>28</x:v>
      </x:c>
      <x:c r="R230" s="16" t="s">
        <x:v>28</x:v>
      </x:c>
      <x:c r="S230" s="16" t="s">
        <x:v>28</x:v>
      </x:c>
      <x:c r="T230" s="16" t="s">
        <x:v>28</x:v>
      </x:c>
      <x:c r="U230" s="16" t="s">
        <x:v>28</x:v>
      </x:c>
      <x:c r="V230" s="16" t="s">
        <x:v>28</x:v>
      </x:c>
      <x:c r="W230" s="16" t="s">
        <x:v>28</x:v>
      </x:c>
      <x:c r="X230" s="16" t="s">
        <x:v>28</x:v>
      </x:c>
      <x:c r="Y230" s="16" t="s">
        <x:v>28</x:v>
      </x:c>
      <x:c r="Z230" s="19" t="s">
        <x:v>508</x:v>
      </x:c>
      <x:c r="AA230" s="60" t="str">
        <x:v>Snapshot only — run GitHub workflow</x:v>
      </x:c>
      <x:c r="AB230" s="61" t="n">
        <x:f>IFERROR(H230/G230,"")</x:f>
        <x:v>4</x:v>
      </x:c>
      <x:c r="AC230" s="60" t="str"/>
      <x:c r="AD230" s="60" t="str"/>
      <x:c r="AE230" s="60" t="str"/>
      <x:c r="AF230" s="60" t="str"/>
    </x:row>
    <x:row r="231" ht="15.75" customHeight="1">
      <x:c r="A231" s="2" t="s">
        <x:v>509</x:v>
      </x:c>
      <x:c r="B231" s="2" t="s">
        <x:v>510</x:v>
      </x:c>
      <x:c r="C231" s="3" t="e">
        <x:f>HYPERLINK("https://scan.mypinata.cloud/ipfs/bafybeih3olry3is4e4lzm7rus5l3h6zrphcal5a7ayfkhzm5oivjro2cp4/#/address/0x5EF3011243B03f817223A19f277638397048A0DC", "0x5EF3011243B03f817223A19f277638397048A0DC")</x:f>
      </x:c>
      <x:c r="D231" s="4" t="str">
        <x:f t="shared" si="15"/>
        <x:v>Atropa Dev</x:v>
      </x:c>
      <x:c r="E231" s="4" t="e">
        <x:f>HYPERLINK("https://scan.mypinata.cloud/ipfs/bafybeih3olry3is4e4lzm7rus5l3h6zrphcal5a7ayfkhzm5oivjro2cp4/#/block/20565515", "20565515")</x:f>
      </x:c>
      <x:c r="F231" s="4" t="e">
        <x:f>HYPERLINK("https://scan.mypinata.cloud/ipfs/bafybeih3olry3is4e4lzm7rus5l3h6zrphcal5a7ayfkhzm5oivjro2cp4/#/tx/0x2df0095977ed87388e9ee61cbea0e868a176ca5126ca561523f20cb33d9a700d", "2024-06-07 00:41:15")</x:f>
      </x:c>
      <x:c r="G231" s="5">
        <x:v>1.0</x:v>
      </x:c>
      <x:c r="H231" s="5">
        <x:v>12953.0</x:v>
      </x:c>
      <x:c r="I231" s="5">
        <x:v>12953.0</x:v>
      </x:c>
      <x:c r="J231" s="5">
        <x:v>12952.0</x:v>
      </x:c>
      <x:c r="K231" s="5">
        <x:v>0.0</x:v>
      </x:c>
      <x:c r="L231" s="4" t="e">
        <x:f>HYPERLINK("https://scan.mypinata.cloud/ipfs/bafybeih3olry3is4e4lzm7rus5l3h6zrphcal5a7ayfkhzm5oivjro2cp4/#/tx/0xf7199644d34cbb89c19c182a2853a95c4b020dd49fe41daac083c4c141509fb9", "2024-12-15 14:38:15")</x:f>
      </x:c>
      <x:c r="M231" s="2" t="s">
        <x:v>28</x:v>
      </x:c>
      <x:c r="N231" s="2" t="e">
        <x:f>IFERROR(__xludf.DUMMYFUNCTION("IF(ISDATE(TO_DATE(L231)), MAX(0, ROUND(TODAY() - TO_DATE(L231)), 0), ""-"")"),564.0)</x:f>
      </x:c>
      <x:c r="O231" s="2" t="e">
        <x:f>IFERROR(__xludf.DUMMYFUNCTION("IF(ISDATE(TO_DATE(M231)), MAX(0, ROUND(TODAY() - TO_DATE(M231)), 0), ""-"")"),"-")</x:f>
      </x:c>
      <x:c r="P231" s="2" t="s">
        <x:v>28</x:v>
      </x:c>
      <x:c r="Q231" s="2" t="s">
        <x:v>28</x:v>
      </x:c>
      <x:c r="R231" s="2" t="s">
        <x:v>28</x:v>
      </x:c>
      <x:c r="S231" s="2" t="s">
        <x:v>28</x:v>
      </x:c>
      <x:c r="T231" s="2" t="s">
        <x:v>28</x:v>
      </x:c>
      <x:c r="U231" s="2" t="s">
        <x:v>28</x:v>
      </x:c>
      <x:c r="V231" s="2" t="s">
        <x:v>28</x:v>
      </x:c>
      <x:c r="W231" s="2" t="s">
        <x:v>28</x:v>
      </x:c>
      <x:c r="X231" s="2" t="s">
        <x:v>28</x:v>
      </x:c>
      <x:c r="Y231" s="2" t="s">
        <x:v>28</x:v>
      </x:c>
      <x:c r="Z231" s="9" t="s">
        <x:v>511</x:v>
      </x:c>
      <x:c r="AA231" s="60" t="str">
        <x:v>Snapshot only — run GitHub workflow</x:v>
      </x:c>
      <x:c r="AB231" s="61" t="n">
        <x:f>IFERROR(H231/G231,"")</x:f>
        <x:v>12953</x:v>
      </x:c>
      <x:c r="AC231" s="60" t="str"/>
      <x:c r="AD231" s="60" t="str"/>
      <x:c r="AE231" s="60" t="str"/>
      <x:c r="AF231" s="60" t="str"/>
    </x:row>
    <x:row r="232" ht="15.75" customHeight="1">
      <x:c r="A232" s="2" t="s">
        <x:v>512</x:v>
      </x:c>
      <x:c r="B232" s="2" t="s">
        <x:v>510</x:v>
      </x:c>
      <x:c r="C232" s="3" t="e">
        <x:f>HYPERLINK("https://scan.mypinata.cloud/ipfs/bafybeih3olry3is4e4lzm7rus5l3h6zrphcal5a7ayfkhzm5oivjro2cp4/#/address/0xB680F0cc810317933F234f67EB6A9E923407f05D", "0xB680F0cc810317933F234f67EB6A9E923407f05D")</x:f>
      </x:c>
      <x:c r="D232" s="4" t="str">
        <x:f t="shared" si="15"/>
        <x:v>Atropa Dev</x:v>
      </x:c>
      <x:c r="E232" s="4" t="e">
        <x:f>HYPERLINK("https://scan.mypinata.cloud/ipfs/bafybeih3olry3is4e4lzm7rus5l3h6zrphcal5a7ayfkhzm5oivjro2cp4/#/block/20565711", "20565711")</x:f>
      </x:c>
      <x:c r="F232" s="4" t="e">
        <x:f>HYPERLINK("https://scan.mypinata.cloud/ipfs/bafybeih3olry3is4e4lzm7rus5l3h6zrphcal5a7ayfkhzm5oivjro2cp4/#/tx/0xf118d166d7616fe52b844c0a9c4ce9de325afe1e45ef54b5bd0a807cd2d8ef5b", "2024-06-07 01:13:55")</x:f>
      </x:c>
      <x:c r="G232" s="5">
        <x:v>1.0</x:v>
      </x:c>
      <x:c r="H232" s="5">
        <x:v>7.187416E7</x:v>
      </x:c>
      <x:c r="I232" s="5">
        <x:v>7.1861515E7</x:v>
      </x:c>
      <x:c r="J232" s="5">
        <x:v>7.1861514E7</x:v>
      </x:c>
      <x:c r="K232" s="10" t="s">
        <x:v>129</x:v>
      </x:c>
      <x:c r="L232" s="4" t="e">
        <x:f>HYPERLINK("https://scan.mypinata.cloud/ipfs/bafybeih3olry3is4e4lzm7rus5l3h6zrphcal5a7ayfkhzm5oivjro2cp4/#/tx/0x48302d38afb0bfbd03a1abcab56c1c37b699916df1acbf20c5cb20bd1d36c91b", "2025-02-27 14:35:25")</x:f>
      </x:c>
      <x:c r="M232" s="4" t="e">
        <x:f>HYPERLINK("https://scan.mypinata.cloud/ipfs/bafybeih3olry3is4e4lzm7rus5l3h6zrphcal5a7ayfkhzm5oivjro2cp4/#/tx/0xd121875d93fafc3f5a7ce7146e534000cc3d32e42dc8bfcab3481743e51dd745", "2024-07-06 08:35:05")</x:f>
      </x:c>
      <x:c r="N232" s="2" t="e">
        <x:f>IFERROR(__xludf.DUMMYFUNCTION("IF(ISDATE(TO_DATE(L232)), MAX(0, ROUND(TODAY() - TO_DATE(L232)), 0), ""-"")"),490.0)</x:f>
      </x:c>
      <x:c r="O232" s="2" t="e">
        <x:f>IFERROR(__xludf.DUMMYFUNCTION("IF(ISDATE(TO_DATE(M232)), MAX(0, ROUND(TODAY() - TO_DATE(M232)), 0), ""-"")"),727.0)</x:f>
      </x:c>
      <x:c r="P232" s="6">
        <x:v>0.01289</x:v>
      </x:c>
      <x:c r="Q232" s="6">
        <x:v>321.3479</x:v>
      </x:c>
      <x:c r="R232" s="7">
        <x:v>926193.85786</x:v>
      </x:c>
      <x:c r="S232" s="7">
        <x:v>926324.0</x:v>
      </x:c>
      <x:c r="T232" s="7">
        <x:v>80.22</x:v>
      </x:c>
      <x:c r="U232" s="7">
        <x:v>989.04</x:v>
      </x:c>
      <x:c r="V232" s="2" t="s">
        <x:v>28</x:v>
      </x:c>
      <x:c r="W232" s="2" t="s">
        <x:v>28</x:v>
      </x:c>
      <x:c r="X232" s="2" t="s">
        <x:v>28</x:v>
      </x:c>
      <x:c r="Y232" s="2" t="s">
        <x:v>28</x:v>
      </x:c>
      <x:c r="Z232" s="9" t="s">
        <x:v>511</x:v>
      </x:c>
      <x:c r="AA232" s="60" t="str">
        <x:v>Snapshot only — run GitHub workflow</x:v>
      </x:c>
      <x:c r="AB232" s="61" t="n">
        <x:f>IFERROR(H232/G232,"")</x:f>
        <x:v>71874160</x:v>
      </x:c>
      <x:c r="AC232" s="60" t="str"/>
      <x:c r="AD232" s="60" t="str"/>
      <x:c r="AE232" s="60" t="str"/>
      <x:c r="AF232" s="60" t="str"/>
    </x:row>
    <x:row r="233" ht="15.75" customHeight="1">
      <x:c r="A233" s="2" t="s">
        <x:v>513</x:v>
      </x:c>
      <x:c r="B233" s="2" t="s">
        <x:v>514</x:v>
      </x:c>
      <x:c r="C233" s="3" t="e">
        <x:f>HYPERLINK("https://scan.mypinata.cloud/ipfs/bafybeih3olry3is4e4lzm7rus5l3h6zrphcal5a7ayfkhzm5oivjro2cp4/#/address/0x2Ef8f161719f99062780f54733eFb4ff1516F277", "0x2Ef8f161719f99062780f54733eFb4ff1516F277")</x:f>
      </x:c>
      <x:c r="D233" s="4" t="str">
        <x:f t="shared" si="15"/>
        <x:v>Atropa Dev</x:v>
      </x:c>
      <x:c r="E233" s="4" t="e">
        <x:f>HYPERLINK("https://scan.mypinata.cloud/ipfs/bafybeih3olry3is4e4lzm7rus5l3h6zrphcal5a7ayfkhzm5oivjro2cp4/#/block/20566068", "20566068")</x:f>
      </x:c>
      <x:c r="F233" s="4" t="e">
        <x:f>HYPERLINK("https://scan.mypinata.cloud/ipfs/bafybeih3olry3is4e4lzm7rus5l3h6zrphcal5a7ayfkhzm5oivjro2cp4/#/tx/0xc40e0c3daba9b3ebfcc8229584ff9ed79bf6af6e556f34022db1bb7c947e4093", "2024-06-07 02:13:45")</x:f>
      </x:c>
      <x:c r="G233" s="5">
        <x:v>1.0</x:v>
      </x:c>
      <x:c r="H233" s="5">
        <x:v>2.0</x:v>
      </x:c>
      <x:c r="I233" s="5">
        <x:v>2.0</x:v>
      </x:c>
      <x:c r="J233" s="5">
        <x:v>1.0</x:v>
      </x:c>
      <x:c r="K233" s="5">
        <x:v>0.0</x:v>
      </x:c>
      <x:c r="L233" s="4" t="e">
        <x:f>HYPERLINK("https://scan.mypinata.cloud/ipfs/bafybeih3olry3is4e4lzm7rus5l3h6zrphcal5a7ayfkhzm5oivjro2cp4/#/tx/0xfedde2867fe4127ef266695e0c5dc8ce29a7d2f9209661926f03ec11bc24ac56", "2024-06-07 02:20:55")</x:f>
      </x:c>
      <x:c r="M233" s="2" t="s">
        <x:v>28</x:v>
      </x:c>
      <x:c r="N233" s="2" t="e">
        <x:f>IFERROR(__xludf.DUMMYFUNCTION("IF(ISDATE(TO_DATE(L233)), MAX(0, ROUND(TODAY() - TO_DATE(L233)), 0), ""-"")"),756.0)</x:f>
      </x:c>
      <x:c r="O233" s="2" t="e">
        <x:f>IFERROR(__xludf.DUMMYFUNCTION("IF(ISDATE(TO_DATE(M233)), MAX(0, ROUND(TODAY() - TO_DATE(M233)), 0), ""-"")"),"-")</x:f>
      </x:c>
      <x:c r="P233" s="2" t="s">
        <x:v>28</x:v>
      </x:c>
      <x:c r="Q233" s="2" t="s">
        <x:v>28</x:v>
      </x:c>
      <x:c r="R233" s="2" t="s">
        <x:v>28</x:v>
      </x:c>
      <x:c r="S233" s="2" t="s">
        <x:v>28</x:v>
      </x:c>
      <x:c r="T233" s="2" t="s">
        <x:v>28</x:v>
      </x:c>
      <x:c r="U233" s="2" t="s">
        <x:v>28</x:v>
      </x:c>
      <x:c r="V233" s="2" t="s">
        <x:v>28</x:v>
      </x:c>
      <x:c r="W233" s="2" t="s">
        <x:v>28</x:v>
      </x:c>
      <x:c r="X233" s="2" t="s">
        <x:v>28</x:v>
      </x:c>
      <x:c r="Y233" s="2" t="s">
        <x:v>28</x:v>
      </x:c>
      <x:c r="Z233" s="9" t="s">
        <x:v>515</x:v>
      </x:c>
      <x:c r="AA233" s="60" t="str">
        <x:v>Snapshot only — run GitHub workflow</x:v>
      </x:c>
      <x:c r="AB233" s="61" t="n">
        <x:f>IFERROR(H233/G233,"")</x:f>
        <x:v>2</x:v>
      </x:c>
      <x:c r="AC233" s="60" t="str"/>
      <x:c r="AD233" s="60" t="str"/>
      <x:c r="AE233" s="60" t="str"/>
      <x:c r="AF233" s="60" t="str"/>
    </x:row>
    <x:row r="234" ht="15.75" customHeight="1">
      <x:c r="A234" s="2" t="s">
        <x:v>513</x:v>
      </x:c>
      <x:c r="B234" s="2" t="s">
        <x:v>514</x:v>
      </x:c>
      <x:c r="C234" s="3" t="e">
        <x:f>HYPERLINK("https://scan.mypinata.cloud/ipfs/bafybeih3olry3is4e4lzm7rus5l3h6zrphcal5a7ayfkhzm5oivjro2cp4/#/address/0x36946E462e80F85fc573129D9485D0B01E1f5af4", "0x36946E462e80F85fc573129D9485D0B01E1f5af4")</x:f>
      </x:c>
      <x:c r="D234" s="4" t="str">
        <x:f t="shared" si="15"/>
        <x:v>Atropa Dev</x:v>
      </x:c>
      <x:c r="E234" s="4" t="e">
        <x:f>HYPERLINK("https://scan.mypinata.cloud/ipfs/bafybeih3olry3is4e4lzm7rus5l3h6zrphcal5a7ayfkhzm5oivjro2cp4/#/block/20566170", "20566170")</x:f>
      </x:c>
      <x:c r="F234" s="4" t="e">
        <x:f>HYPERLINK("https://scan.mypinata.cloud/ipfs/bafybeih3olry3is4e4lzm7rus5l3h6zrphcal5a7ayfkhzm5oivjro2cp4/#/tx/0x75a0cbb291d10747cc14f06a862c29b621adef5a94d0903af99860a6ee9c9a5e", "2024-06-07 02:30:55")</x:f>
      </x:c>
      <x:c r="G234" s="5">
        <x:v>1.0</x:v>
      </x:c>
      <x:c r="H234" s="5">
        <x:v>1.0</x:v>
      </x:c>
      <x:c r="I234" s="5">
        <x:v>1.0</x:v>
      </x:c>
      <x:c r="J234" s="5">
        <x:v>0.0</x:v>
      </x:c>
      <x:c r="K234" s="5">
        <x:v>0.0</x:v>
      </x:c>
      <x:c r="L234" s="2" t="s">
        <x:v>28</x:v>
      </x:c>
      <x:c r="M234" s="2" t="s">
        <x:v>28</x:v>
      </x:c>
      <x:c r="N234" s="2" t="e">
        <x:f>IFERROR(__xludf.DUMMYFUNCTION("IF(ISDATE(TO_DATE(L234)), MAX(0, ROUND(TODAY() - TO_DATE(L234)), 0), ""-"")"),"-")</x:f>
      </x:c>
      <x:c r="O234" s="2" t="e">
        <x:f>IFERROR(__xludf.DUMMYFUNCTION("IF(ISDATE(TO_DATE(M234)), MAX(0, ROUND(TODAY() - TO_DATE(M234)), 0), ""-"")"),"-")</x:f>
      </x:c>
      <x:c r="P234" s="2" t="s">
        <x:v>28</x:v>
      </x:c>
      <x:c r="Q234" s="2" t="s">
        <x:v>28</x:v>
      </x:c>
      <x:c r="R234" s="2" t="s">
        <x:v>28</x:v>
      </x:c>
      <x:c r="S234" s="2" t="s">
        <x:v>28</x:v>
      </x:c>
      <x:c r="T234" s="2" t="s">
        <x:v>28</x:v>
      </x:c>
      <x:c r="U234" s="2" t="s">
        <x:v>28</x:v>
      </x:c>
      <x:c r="V234" s="2" t="s">
        <x:v>28</x:v>
      </x:c>
      <x:c r="W234" s="2" t="s">
        <x:v>28</x:v>
      </x:c>
      <x:c r="X234" s="2" t="s">
        <x:v>28</x:v>
      </x:c>
      <x:c r="Y234" s="2" t="s">
        <x:v>28</x:v>
      </x:c>
      <x:c r="Z234" s="9" t="s">
        <x:v>516</x:v>
      </x:c>
      <x:c r="AA234" s="60" t="str">
        <x:v>Snapshot only — run GitHub workflow</x:v>
      </x:c>
      <x:c r="AB234" s="61" t="n">
        <x:f>IFERROR(H234/G234,"")</x:f>
        <x:v>1</x:v>
      </x:c>
      <x:c r="AC234" s="60" t="str"/>
      <x:c r="AD234" s="60" t="str"/>
      <x:c r="AE234" s="60" t="str"/>
      <x:c r="AF234" s="60" t="str"/>
    </x:row>
    <x:row r="235" ht="15.75" customHeight="1">
      <x:c r="A235" s="2" t="s">
        <x:v>517</x:v>
      </x:c>
      <x:c r="B235" s="2" t="s">
        <x:v>518</x:v>
      </x:c>
      <x:c r="C235" s="3" t="e">
        <x:f>HYPERLINK("https://scan.mypinata.cloud/ipfs/bafybeih3olry3is4e4lzm7rus5l3h6zrphcal5a7ayfkhzm5oivjro2cp4/#/address/0xa505B36154e6be8ec74be63cB5F8882EaBc05374", "0xa505B36154e6be8ec74be63cB5F8882EaBc05374")</x:f>
      </x:c>
      <x:c r="D235" s="4" t="str">
        <x:f t="shared" si="15"/>
        <x:v>Atropa Dev</x:v>
      </x:c>
      <x:c r="E235" s="4" t="e">
        <x:f>HYPERLINK("https://scan.mypinata.cloud/ipfs/bafybeih3olry3is4e4lzm7rus5l3h6zrphcal5a7ayfkhzm5oivjro2cp4/#/block/20566204", "20566204")</x:f>
      </x:c>
      <x:c r="F235" s="4" t="e">
        <x:f>HYPERLINK("https://scan.mypinata.cloud/ipfs/bafybeih3olry3is4e4lzm7rus5l3h6zrphcal5a7ayfkhzm5oivjro2cp4/#/tx/0x1ac71d87b76e007b6871360892a93eaa9668dbd3b9545cac34bb789f75e8414a", "2024-06-07 02:36:35")</x:f>
      </x:c>
      <x:c r="G235" s="5">
        <x:v>1.0</x:v>
      </x:c>
      <x:c r="H235" s="5">
        <x:v>1.0</x:v>
      </x:c>
      <x:c r="I235" s="5">
        <x:v>1.0</x:v>
      </x:c>
      <x:c r="J235" s="5">
        <x:v>0.0</x:v>
      </x:c>
      <x:c r="K235" s="5">
        <x:v>0.0</x:v>
      </x:c>
      <x:c r="L235" s="2" t="s">
        <x:v>28</x:v>
      </x:c>
      <x:c r="M235" s="2" t="s">
        <x:v>28</x:v>
      </x:c>
      <x:c r="N235" s="2" t="e">
        <x:f>IFERROR(__xludf.DUMMYFUNCTION("IF(ISDATE(TO_DATE(L235)), MAX(0, ROUND(TODAY() - TO_DATE(L235)), 0), ""-"")"),"-")</x:f>
      </x:c>
      <x:c r="O235" s="2" t="e">
        <x:f>IFERROR(__xludf.DUMMYFUNCTION("IF(ISDATE(TO_DATE(M235)), MAX(0, ROUND(TODAY() - TO_DATE(M235)), 0), ""-"")"),"-")</x:f>
      </x:c>
      <x:c r="P235" s="2" t="s">
        <x:v>28</x:v>
      </x:c>
      <x:c r="Q235" s="2" t="s">
        <x:v>28</x:v>
      </x:c>
      <x:c r="R235" s="2" t="s">
        <x:v>28</x:v>
      </x:c>
      <x:c r="S235" s="2" t="s">
        <x:v>28</x:v>
      </x:c>
      <x:c r="T235" s="2" t="s">
        <x:v>28</x:v>
      </x:c>
      <x:c r="U235" s="2" t="s">
        <x:v>28</x:v>
      </x:c>
      <x:c r="V235" s="2" t="s">
        <x:v>28</x:v>
      </x:c>
      <x:c r="W235" s="2" t="s">
        <x:v>28</x:v>
      </x:c>
      <x:c r="X235" s="2" t="s">
        <x:v>28</x:v>
      </x:c>
      <x:c r="Y235" s="2" t="s">
        <x:v>28</x:v>
      </x:c>
      <x:c r="Z235" s="9" t="s">
        <x:v>519</x:v>
      </x:c>
      <x:c r="AA235" s="60" t="str">
        <x:v>Snapshot only — run GitHub workflow</x:v>
      </x:c>
      <x:c r="AB235" s="61" t="n">
        <x:f>IFERROR(H235/G235,"")</x:f>
        <x:v>1</x:v>
      </x:c>
      <x:c r="AC235" s="60" t="str"/>
      <x:c r="AD235" s="60" t="str"/>
      <x:c r="AE235" s="60" t="str"/>
      <x:c r="AF235" s="60" t="str"/>
    </x:row>
    <x:row r="236" ht="15.75" customHeight="1">
      <x:c r="A236" s="2" t="s">
        <x:v>517</x:v>
      </x:c>
      <x:c r="B236" s="2" t="s">
        <x:v>518</x:v>
      </x:c>
      <x:c r="C236" s="3" t="e">
        <x:f>HYPERLINK("https://scan.mypinata.cloud/ipfs/bafybeih3olry3is4e4lzm7rus5l3h6zrphcal5a7ayfkhzm5oivjro2cp4/#/address/0x2c1fb497Cd0858CF68c96af6e2a801D121D97E27", "0x2c1fb497Cd0858CF68c96af6e2a801D121D97E27")</x:f>
      </x:c>
      <x:c r="D236" s="4" t="str">
        <x:f t="shared" si="15"/>
        <x:v>Atropa Dev</x:v>
      </x:c>
      <x:c r="E236" s="4" t="e">
        <x:f>HYPERLINK("https://scan.mypinata.cloud/ipfs/bafybeih3olry3is4e4lzm7rus5l3h6zrphcal5a7ayfkhzm5oivjro2cp4/#/block/20566245", "20566245")</x:f>
      </x:c>
      <x:c r="F236" s="4" t="e">
        <x:f>HYPERLINK("https://scan.mypinata.cloud/ipfs/bafybeih3olry3is4e4lzm7rus5l3h6zrphcal5a7ayfkhzm5oivjro2cp4/#/tx/0xcba2db101e74fbd59b6958782520613642c39434fdefdf30847053fcb3ddff52", "2024-06-07 02:43:25")</x:f>
      </x:c>
      <x:c r="G236" s="5">
        <x:v>1.0</x:v>
      </x:c>
      <x:c r="H236" s="5">
        <x:v>1.0</x:v>
      </x:c>
      <x:c r="I236" s="5">
        <x:v>1.0</x:v>
      </x:c>
      <x:c r="J236" s="5">
        <x:v>0.0</x:v>
      </x:c>
      <x:c r="K236" s="5">
        <x:v>0.0</x:v>
      </x:c>
      <x:c r="L236" s="2" t="s">
        <x:v>28</x:v>
      </x:c>
      <x:c r="M236" s="2" t="s">
        <x:v>28</x:v>
      </x:c>
      <x:c r="N236" s="2" t="e">
        <x:f>IFERROR(__xludf.DUMMYFUNCTION("IF(ISDATE(TO_DATE(L236)), MAX(0, ROUND(TODAY() - TO_DATE(L236)), 0), ""-"")"),"-")</x:f>
      </x:c>
      <x:c r="O236" s="2" t="e">
        <x:f>IFERROR(__xludf.DUMMYFUNCTION("IF(ISDATE(TO_DATE(M236)), MAX(0, ROUND(TODAY() - TO_DATE(M236)), 0), ""-"")"),"-")</x:f>
      </x:c>
      <x:c r="P236" s="2" t="s">
        <x:v>28</x:v>
      </x:c>
      <x:c r="Q236" s="2" t="s">
        <x:v>28</x:v>
      </x:c>
      <x:c r="R236" s="2" t="s">
        <x:v>28</x:v>
      </x:c>
      <x:c r="S236" s="2" t="s">
        <x:v>28</x:v>
      </x:c>
      <x:c r="T236" s="2" t="s">
        <x:v>28</x:v>
      </x:c>
      <x:c r="U236" s="2" t="s">
        <x:v>28</x:v>
      </x:c>
      <x:c r="V236" s="2" t="s">
        <x:v>28</x:v>
      </x:c>
      <x:c r="W236" s="2" t="s">
        <x:v>28</x:v>
      </x:c>
      <x:c r="X236" s="2" t="s">
        <x:v>28</x:v>
      </x:c>
      <x:c r="Y236" s="2" t="s">
        <x:v>28</x:v>
      </x:c>
      <x:c r="Z236" s="9" t="s">
        <x:v>519</x:v>
      </x:c>
      <x:c r="AA236" s="60" t="str">
        <x:v>Snapshot only — run GitHub workflow</x:v>
      </x:c>
      <x:c r="AB236" s="61" t="n">
        <x:f>IFERROR(H236/G236,"")</x:f>
        <x:v>1</x:v>
      </x:c>
      <x:c r="AC236" s="60" t="str"/>
      <x:c r="AD236" s="60" t="str"/>
      <x:c r="AE236" s="60" t="str"/>
      <x:c r="AF236" s="60" t="str"/>
    </x:row>
    <x:row r="237" ht="15.75" customHeight="1">
      <x:c r="A237" s="2" t="s">
        <x:v>513</x:v>
      </x:c>
      <x:c r="B237" s="2" t="s">
        <x:v>514</x:v>
      </x:c>
      <x:c r="C237" s="3" t="e">
        <x:f>HYPERLINK("https://scan.mypinata.cloud/ipfs/bafybeih3olry3is4e4lzm7rus5l3h6zrphcal5a7ayfkhzm5oivjro2cp4/#/address/0x6a3a99f6Db83c8397b57033734fC29F3F5b58f46", "0x6a3a99f6Db83c8397b57033734fC29F3F5b58f46")</x:f>
      </x:c>
      <x:c r="D237" s="4" t="str">
        <x:f t="shared" si="15"/>
        <x:v>Atropa Dev</x:v>
      </x:c>
      <x:c r="E237" s="4" t="e">
        <x:f>HYPERLINK("https://scan.mypinata.cloud/ipfs/bafybeih3olry3is4e4lzm7rus5l3h6zrphcal5a7ayfkhzm5oivjro2cp4/#/block/20566522", "20566522")</x:f>
      </x:c>
      <x:c r="F237" s="4" t="e">
        <x:f>HYPERLINK("https://scan.mypinata.cloud/ipfs/bafybeih3olry3is4e4lzm7rus5l3h6zrphcal5a7ayfkhzm5oivjro2cp4/#/tx/0xce560957d96cc76fdafe87a428a138cde76481201eed9baf066b27555d46689a", "2024-06-07 03:30:15")</x:f>
      </x:c>
      <x:c r="G237" s="5">
        <x:v>1.0</x:v>
      </x:c>
      <x:c r="H237" s="5">
        <x:v>1.0</x:v>
      </x:c>
      <x:c r="I237" s="5">
        <x:v>1.0</x:v>
      </x:c>
      <x:c r="J237" s="5">
        <x:v>0.0</x:v>
      </x:c>
      <x:c r="K237" s="5">
        <x:v>0.0</x:v>
      </x:c>
      <x:c r="L237" s="2" t="s">
        <x:v>28</x:v>
      </x:c>
      <x:c r="M237" s="2" t="s">
        <x:v>28</x:v>
      </x:c>
      <x:c r="N237" s="2" t="e">
        <x:f>IFERROR(__xludf.DUMMYFUNCTION("IF(ISDATE(TO_DATE(L237)), MAX(0, ROUND(TODAY() - TO_DATE(L237)), 0), ""-"")"),"-")</x:f>
      </x:c>
      <x:c r="O237" s="2" t="e">
        <x:f>IFERROR(__xludf.DUMMYFUNCTION("IF(ISDATE(TO_DATE(M237)), MAX(0, ROUND(TODAY() - TO_DATE(M237)), 0), ""-"")"),"-")</x:f>
      </x:c>
      <x:c r="P237" s="2" t="s">
        <x:v>28</x:v>
      </x:c>
      <x:c r="Q237" s="2" t="s">
        <x:v>28</x:v>
      </x:c>
      <x:c r="R237" s="2" t="s">
        <x:v>28</x:v>
      </x:c>
      <x:c r="S237" s="2" t="s">
        <x:v>28</x:v>
      </x:c>
      <x:c r="T237" s="2" t="s">
        <x:v>28</x:v>
      </x:c>
      <x:c r="U237" s="2" t="s">
        <x:v>28</x:v>
      </x:c>
      <x:c r="V237" s="2" t="s">
        <x:v>28</x:v>
      </x:c>
      <x:c r="W237" s="2" t="s">
        <x:v>28</x:v>
      </x:c>
      <x:c r="X237" s="2" t="s">
        <x:v>28</x:v>
      </x:c>
      <x:c r="Y237" s="2" t="s">
        <x:v>28</x:v>
      </x:c>
      <x:c r="Z237" s="9" t="s">
        <x:v>519</x:v>
      </x:c>
      <x:c r="AA237" s="60" t="str">
        <x:v>Snapshot only — run GitHub workflow</x:v>
      </x:c>
      <x:c r="AB237" s="61" t="n">
        <x:f>IFERROR(H237/G237,"")</x:f>
        <x:v>1</x:v>
      </x:c>
      <x:c r="AC237" s="60" t="str"/>
      <x:c r="AD237" s="60" t="str"/>
      <x:c r="AE237" s="60" t="str"/>
      <x:c r="AF237" s="60" t="str"/>
    </x:row>
    <x:row r="238" ht="15.75" customHeight="1">
      <x:c r="A238" s="2" t="s">
        <x:v>517</x:v>
      </x:c>
      <x:c r="B238" s="2" t="s">
        <x:v>518</x:v>
      </x:c>
      <x:c r="C238" s="3" t="e">
        <x:f>HYPERLINK("https://scan.mypinata.cloud/ipfs/bafybeih3olry3is4e4lzm7rus5l3h6zrphcal5a7ayfkhzm5oivjro2cp4/#/address/0x580192164ceb11721Abd1B5116Be328529653E22", "0x580192164ceb11721Abd1B5116Be328529653E22")</x:f>
      </x:c>
      <x:c r="D238" s="4" t="str">
        <x:f t="shared" si="15"/>
        <x:v>Atropa Dev</x:v>
      </x:c>
      <x:c r="E238" s="4" t="e">
        <x:f>HYPERLINK("https://scan.mypinata.cloud/ipfs/bafybeih3olry3is4e4lzm7rus5l3h6zrphcal5a7ayfkhzm5oivjro2cp4/#/block/20566531", "20566531")</x:f>
      </x:c>
      <x:c r="F238" s="4" t="e">
        <x:f>HYPERLINK("https://scan.mypinata.cloud/ipfs/bafybeih3olry3is4e4lzm7rus5l3h6zrphcal5a7ayfkhzm5oivjro2cp4/#/tx/0x23ec083e860098b096e6defa8c2f8853ecbb43b5f54c3a6d76ddd0c3a0017340", "2024-06-07 03:31:55")</x:f>
      </x:c>
      <x:c r="G238" s="5">
        <x:v>1.0</x:v>
      </x:c>
      <x:c r="H238" s="5">
        <x:v>1.0</x:v>
      </x:c>
      <x:c r="I238" s="5">
        <x:v>1.0</x:v>
      </x:c>
      <x:c r="J238" s="5">
        <x:v>0.0</x:v>
      </x:c>
      <x:c r="K238" s="5">
        <x:v>0.0</x:v>
      </x:c>
      <x:c r="L238" s="2" t="s">
        <x:v>28</x:v>
      </x:c>
      <x:c r="M238" s="2" t="s">
        <x:v>28</x:v>
      </x:c>
      <x:c r="N238" s="2" t="e">
        <x:f>IFERROR(__xludf.DUMMYFUNCTION("IF(ISDATE(TO_DATE(L238)), MAX(0, ROUND(TODAY() - TO_DATE(L238)), 0), ""-"")"),"-")</x:f>
      </x:c>
      <x:c r="O238" s="2" t="e">
        <x:f>IFERROR(__xludf.DUMMYFUNCTION("IF(ISDATE(TO_DATE(M238)), MAX(0, ROUND(TODAY() - TO_DATE(M238)), 0), ""-"")"),"-")</x:f>
      </x:c>
      <x:c r="P238" s="2" t="s">
        <x:v>28</x:v>
      </x:c>
      <x:c r="Q238" s="2" t="s">
        <x:v>28</x:v>
      </x:c>
      <x:c r="R238" s="2" t="s">
        <x:v>28</x:v>
      </x:c>
      <x:c r="S238" s="2" t="s">
        <x:v>28</x:v>
      </x:c>
      <x:c r="T238" s="2" t="s">
        <x:v>28</x:v>
      </x:c>
      <x:c r="U238" s="2" t="s">
        <x:v>28</x:v>
      </x:c>
      <x:c r="V238" s="2" t="s">
        <x:v>28</x:v>
      </x:c>
      <x:c r="W238" s="2" t="s">
        <x:v>28</x:v>
      </x:c>
      <x:c r="X238" s="2" t="s">
        <x:v>28</x:v>
      </x:c>
      <x:c r="Y238" s="2" t="s">
        <x:v>28</x:v>
      </x:c>
      <x:c r="Z238" s="9" t="s">
        <x:v>515</x:v>
      </x:c>
      <x:c r="AA238" s="60" t="str">
        <x:v>Snapshot only — run GitHub workflow</x:v>
      </x:c>
      <x:c r="AB238" s="61" t="n">
        <x:f>IFERROR(H238/G238,"")</x:f>
        <x:v>1</x:v>
      </x:c>
      <x:c r="AC238" s="60" t="str"/>
      <x:c r="AD238" s="60" t="str"/>
      <x:c r="AE238" s="60" t="str"/>
      <x:c r="AF238" s="60" t="str"/>
    </x:row>
    <x:row r="239" ht="15.75" customHeight="1">
      <x:c r="A239" s="2" t="s">
        <x:v>513</x:v>
      </x:c>
      <x:c r="B239" s="2" t="s">
        <x:v>514</x:v>
      </x:c>
      <x:c r="C239" s="3" t="e">
        <x:f>HYPERLINK("https://scan.mypinata.cloud/ipfs/bafybeih3olry3is4e4lzm7rus5l3h6zrphcal5a7ayfkhzm5oivjro2cp4/#/address/0x232a27AB6941281b3f474Fe5fF7Cc89816fB675A", "0x232a27AB6941281b3f474Fe5fF7Cc89816fB675A")</x:f>
      </x:c>
      <x:c r="D239" s="4" t="str">
        <x:f t="shared" si="15"/>
        <x:v>Atropa Dev</x:v>
      </x:c>
      <x:c r="E239" s="4" t="e">
        <x:f>HYPERLINK("https://scan.mypinata.cloud/ipfs/bafybeih3olry3is4e4lzm7rus5l3h6zrphcal5a7ayfkhzm5oivjro2cp4/#/block/20566603", "20566603")</x:f>
      </x:c>
      <x:c r="F239" s="4" t="e">
        <x:f>HYPERLINK("https://scan.mypinata.cloud/ipfs/bafybeih3olry3is4e4lzm7rus5l3h6zrphcal5a7ayfkhzm5oivjro2cp4/#/tx/0xf83f8f0d5f56d3cf27b8d9b62b06edaf34960a5f0ae6b908f0a129dbb57e4308", "2024-06-07 03:44:05")</x:f>
      </x:c>
      <x:c r="G239" s="5">
        <x:v>1.0</x:v>
      </x:c>
      <x:c r="H239" s="5">
        <x:v>2638.0</x:v>
      </x:c>
      <x:c r="I239" s="5">
        <x:v>2638.0</x:v>
      </x:c>
      <x:c r="J239" s="5">
        <x:v>2637.0</x:v>
      </x:c>
      <x:c r="K239" s="5">
        <x:v>0.0</x:v>
      </x:c>
      <x:c r="L239" s="4" t="e">
        <x:f>HYPERLINK("https://scan.mypinata.cloud/ipfs/bafybeih3olry3is4e4lzm7rus5l3h6zrphcal5a7ayfkhzm5oivjro2cp4/#/tx/0x313af4e32cb2a9adfd4f21444fb827d410fc588c070b2154a9157485f74b24db", "2024-06-22 17:29:25")</x:f>
      </x:c>
      <x:c r="M239" s="2" t="s">
        <x:v>28</x:v>
      </x:c>
      <x:c r="N239" s="2" t="e">
        <x:f>IFERROR(__xludf.DUMMYFUNCTION("IF(ISDATE(TO_DATE(L239)), MAX(0, ROUND(TODAY() - TO_DATE(L239)), 0), ""-"")"),740.0)</x:f>
      </x:c>
      <x:c r="O239" s="2" t="e">
        <x:f>IFERROR(__xludf.DUMMYFUNCTION("IF(ISDATE(TO_DATE(M239)), MAX(0, ROUND(TODAY() - TO_DATE(M239)), 0), ""-"")"),"-")</x:f>
      </x:c>
      <x:c r="P239" s="2" t="s">
        <x:v>28</x:v>
      </x:c>
      <x:c r="Q239" s="2" t="s">
        <x:v>28</x:v>
      </x:c>
      <x:c r="R239" s="2" t="s">
        <x:v>28</x:v>
      </x:c>
      <x:c r="S239" s="2" t="s">
        <x:v>28</x:v>
      </x:c>
      <x:c r="T239" s="2" t="s">
        <x:v>28</x:v>
      </x:c>
      <x:c r="U239" s="2" t="s">
        <x:v>28</x:v>
      </x:c>
      <x:c r="V239" s="2" t="s">
        <x:v>28</x:v>
      </x:c>
      <x:c r="W239" s="2" t="s">
        <x:v>28</x:v>
      </x:c>
      <x:c r="X239" s="2" t="s">
        <x:v>28</x:v>
      </x:c>
      <x:c r="Y239" s="2" t="s">
        <x:v>28</x:v>
      </x:c>
      <x:c r="Z239" s="9" t="s">
        <x:v>515</x:v>
      </x:c>
      <x:c r="AA239" s="60" t="str">
        <x:v>Snapshot only — run GitHub workflow</x:v>
      </x:c>
      <x:c r="AB239" s="61" t="n">
        <x:f>IFERROR(H239/G239,"")</x:f>
        <x:v>2638</x:v>
      </x:c>
      <x:c r="AC239" s="60" t="str"/>
      <x:c r="AD239" s="60" t="str"/>
      <x:c r="AE239" s="60" t="str"/>
      <x:c r="AF239" s="60" t="str"/>
    </x:row>
    <x:row r="240" ht="15.75" customHeight="1">
      <x:c r="A240" s="2" t="s">
        <x:v>517</x:v>
      </x:c>
      <x:c r="B240" s="2" t="s">
        <x:v>518</x:v>
      </x:c>
      <x:c r="C240" s="3" t="e">
        <x:f>HYPERLINK("https://scan.mypinata.cloud/ipfs/bafybeih3olry3is4e4lzm7rus5l3h6zrphcal5a7ayfkhzm5oivjro2cp4/#/address/0x22fE84A0E095893d9FF13247074DE5643A81bd19", "0x22fE84A0E095893d9FF13247074DE5643A81bd19")</x:f>
      </x:c>
      <x:c r="D240" s="4" t="str">
        <x:f t="shared" si="15"/>
        <x:v>Atropa Dev</x:v>
      </x:c>
      <x:c r="E240" s="4" t="e">
        <x:f>HYPERLINK("https://scan.mypinata.cloud/ipfs/bafybeih3olry3is4e4lzm7rus5l3h6zrphcal5a7ayfkhzm5oivjro2cp4/#/block/20566608", "20566608")</x:f>
      </x:c>
      <x:c r="F240" s="4" t="e">
        <x:f>HYPERLINK("https://scan.mypinata.cloud/ipfs/bafybeih3olry3is4e4lzm7rus5l3h6zrphcal5a7ayfkhzm5oivjro2cp4/#/tx/0x9f083e2b72876041567eb9743fb71828cce23ebb0a08b89abf3d4bcf94c6ae73", "2024-06-07 03:44:55")</x:f>
      </x:c>
      <x:c r="G240" s="5">
        <x:v>1.0</x:v>
      </x:c>
      <x:c r="H240" s="5">
        <x:v>1.0</x:v>
      </x:c>
      <x:c r="I240" s="5">
        <x:v>1.0</x:v>
      </x:c>
      <x:c r="J240" s="5">
        <x:v>0.0</x:v>
      </x:c>
      <x:c r="K240" s="5">
        <x:v>0.0</x:v>
      </x:c>
      <x:c r="L240" s="2" t="s">
        <x:v>28</x:v>
      </x:c>
      <x:c r="M240" s="2" t="s">
        <x:v>28</x:v>
      </x:c>
      <x:c r="N240" s="2" t="e">
        <x:f>IFERROR(__xludf.DUMMYFUNCTION("IF(ISDATE(TO_DATE(L240)), MAX(0, ROUND(TODAY() - TO_DATE(L240)), 0), ""-"")"),"-")</x:f>
      </x:c>
      <x:c r="O240" s="2" t="e">
        <x:f>IFERROR(__xludf.DUMMYFUNCTION("IF(ISDATE(TO_DATE(M240)), MAX(0, ROUND(TODAY() - TO_DATE(M240)), 0), ""-"")"),"-")</x:f>
      </x:c>
      <x:c r="P240" s="2" t="s">
        <x:v>28</x:v>
      </x:c>
      <x:c r="Q240" s="2" t="s">
        <x:v>28</x:v>
      </x:c>
      <x:c r="R240" s="2" t="s">
        <x:v>28</x:v>
      </x:c>
      <x:c r="S240" s="2" t="s">
        <x:v>28</x:v>
      </x:c>
      <x:c r="T240" s="2" t="s">
        <x:v>28</x:v>
      </x:c>
      <x:c r="U240" s="2" t="s">
        <x:v>28</x:v>
      </x:c>
      <x:c r="V240" s="2" t="s">
        <x:v>28</x:v>
      </x:c>
      <x:c r="W240" s="2" t="s">
        <x:v>28</x:v>
      </x:c>
      <x:c r="X240" s="2" t="s">
        <x:v>28</x:v>
      </x:c>
      <x:c r="Y240" s="2" t="s">
        <x:v>28</x:v>
      </x:c>
      <x:c r="Z240" s="9" t="s">
        <x:v>520</x:v>
      </x:c>
      <x:c r="AA240" s="60" t="str">
        <x:v>Snapshot only — run GitHub workflow</x:v>
      </x:c>
      <x:c r="AB240" s="61" t="n">
        <x:f>IFERROR(H240/G240,"")</x:f>
        <x:v>1</x:v>
      </x:c>
      <x:c r="AC240" s="60" t="str"/>
      <x:c r="AD240" s="60" t="str"/>
      <x:c r="AE240" s="60" t="str"/>
      <x:c r="AF240" s="60" t="str"/>
    </x:row>
    <x:row r="241" ht="15.75" customHeight="1">
      <x:c r="A241" s="2" t="s">
        <x:v>517</x:v>
      </x:c>
      <x:c r="B241" s="2" t="s">
        <x:v>518</x:v>
      </x:c>
      <x:c r="C241" s="3" t="e">
        <x:f>HYPERLINK("https://scan.mypinata.cloud/ipfs/bafybeih3olry3is4e4lzm7rus5l3h6zrphcal5a7ayfkhzm5oivjro2cp4/#/address/0x73A19FaFb359faf519C9707b781dfdB88407d10d", "0x73A19FaFb359faf519C9707b781dfdB88407d10d")</x:f>
      </x:c>
      <x:c r="D241" s="4" t="str">
        <x:f t="shared" si="15"/>
        <x:v>Atropa Dev</x:v>
      </x:c>
      <x:c r="E241" s="4" t="e">
        <x:f>HYPERLINK("https://scan.mypinata.cloud/ipfs/bafybeih3olry3is4e4lzm7rus5l3h6zrphcal5a7ayfkhzm5oivjro2cp4/#/block/20566666", "20566666")</x:f>
      </x:c>
      <x:c r="F241" s="4" t="e">
        <x:f>HYPERLINK("https://scan.mypinata.cloud/ipfs/bafybeih3olry3is4e4lzm7rus5l3h6zrphcal5a7ayfkhzm5oivjro2cp4/#/tx/0x7516038fb50f59e6d867eb3ed4c5ce333962c4710045c23a7627e928c8854c21", "2024-06-07 03:55:05")</x:f>
      </x:c>
      <x:c r="G241" s="5">
        <x:v>0.0</x:v>
      </x:c>
      <x:c r="H241" s="5">
        <x:v>1.0</x:v>
      </x:c>
      <x:c r="I241" s="5">
        <x:v>1.0</x:v>
      </x:c>
      <x:c r="J241" s="5">
        <x:v>1.0E17</x:v>
      </x:c>
      <x:c r="K241" s="5">
        <x:v>0.0</x:v>
      </x:c>
      <x:c r="L241" s="2" t="s">
        <x:v>28</x:v>
      </x:c>
      <x:c r="M241" s="2" t="s">
        <x:v>28</x:v>
      </x:c>
      <x:c r="N241" s="2" t="e">
        <x:f>IFERROR(__xludf.DUMMYFUNCTION("IF(ISDATE(TO_DATE(L241)), MAX(0, ROUND(TODAY() - TO_DATE(L241)), 0), ""-"")"),"-")</x:f>
      </x:c>
      <x:c r="O241" s="2" t="e">
        <x:f>IFERROR(__xludf.DUMMYFUNCTION("IF(ISDATE(TO_DATE(M241)), MAX(0, ROUND(TODAY() - TO_DATE(M241)), 0), ""-"")"),"-")</x:f>
      </x:c>
      <x:c r="P241" s="2" t="s">
        <x:v>28</x:v>
      </x:c>
      <x:c r="Q241" s="2" t="s">
        <x:v>28</x:v>
      </x:c>
      <x:c r="R241" s="2" t="s">
        <x:v>28</x:v>
      </x:c>
      <x:c r="S241" s="2" t="s">
        <x:v>28</x:v>
      </x:c>
      <x:c r="T241" s="2" t="s">
        <x:v>28</x:v>
      </x:c>
      <x:c r="U241" s="2" t="s">
        <x:v>28</x:v>
      </x:c>
      <x:c r="V241" s="2" t="s">
        <x:v>28</x:v>
      </x:c>
      <x:c r="W241" s="2" t="s">
        <x:v>28</x:v>
      </x:c>
      <x:c r="X241" s="2" t="s">
        <x:v>28</x:v>
      </x:c>
      <x:c r="Y241" s="2" t="s">
        <x:v>28</x:v>
      </x:c>
      <x:c r="Z241" s="9" t="s">
        <x:v>521</x:v>
      </x:c>
      <x:c r="AA241" s="60" t="str">
        <x:v>Snapshot only — run GitHub workflow</x:v>
      </x:c>
      <x:c r="AB241" s="61" t="str">
        <x:f>IFERROR(H241/G241,"")</x:f>
      </x:c>
      <x:c r="AC241" s="60" t="str"/>
      <x:c r="AD241" s="60" t="str"/>
      <x:c r="AE241" s="60" t="str"/>
      <x:c r="AF241" s="60" t="str"/>
    </x:row>
    <x:row r="242" ht="15.75" customHeight="1">
      <x:c r="A242" s="2" t="s">
        <x:v>522</x:v>
      </x:c>
      <x:c r="B242" s="2" t="s">
        <x:v>523</x:v>
      </x:c>
      <x:c r="C242" s="3" t="e">
        <x:f>HYPERLINK("https://scan.mypinata.cloud/ipfs/bafybeih3olry3is4e4lzm7rus5l3h6zrphcal5a7ayfkhzm5oivjro2cp4/#/address/0x24F0154C1dCe548AdF15da2098Fdd8B8A3B8151D", "0x24F0154C1dCe548AdF15da2098Fdd8B8A3B8151D")</x:f>
      </x:c>
      <x:c r="D242" s="4" t="str">
        <x:f t="shared" si="15"/>
        <x:v>Atropa Dev</x:v>
      </x:c>
      <x:c r="E242" s="4" t="e">
        <x:f>HYPERLINK("https://scan.mypinata.cloud/ipfs/bafybeih3olry3is4e4lzm7rus5l3h6zrphcal5a7ayfkhzm5oivjro2cp4/#/block/20567187", "20567187")</x:f>
      </x:c>
      <x:c r="F242" s="4" t="e">
        <x:f>HYPERLINK("https://scan.mypinata.cloud/ipfs/bafybeih3olry3is4e4lzm7rus5l3h6zrphcal5a7ayfkhzm5oivjro2cp4/#/tx/0x8c38624a5f05a4ffcd02814e9d620267cd1f0dec65599006906e740a508b908e", "2024-06-07 05:25:15")</x:f>
      </x:c>
      <x:c r="G242" s="5">
        <x:v>19.0</x:v>
      </x:c>
      <x:c r="H242" s="5">
        <x:v>9.5742022E7</x:v>
      </x:c>
      <x:c r="I242" s="5">
        <x:v>9.568596811418308E7</x:v>
      </x:c>
      <x:c r="J242" s="5">
        <x:v>9.5710745E7</x:v>
      </x:c>
      <x:c r="K242" s="5">
        <x:v>24795.885816910853</x:v>
      </x:c>
      <x:c r="L242" s="4" t="e">
        <x:f>HYPERLINK("https://scan.mypinata.cloud/ipfs/bafybeih3olry3is4e4lzm7rus5l3h6zrphcal5a7ayfkhzm5oivjro2cp4/#/tx/0x403a4597ecfaed7efa3399ca93402edc56bd649583d9b10fcddb7e23c814e2d3", "2025-02-27 14:35:55")</x:f>
      </x:c>
      <x:c r="M242" s="4" t="e">
        <x:f>HYPERLINK("https://scan.mypinata.cloud/ipfs/bafybeih3olry3is4e4lzm7rus5l3h6zrphcal5a7ayfkhzm5oivjro2cp4/#/tx/0x57ad6ebb94c8f918c93381167d5782cfc4773f7497a95ecdb1e1924bf9b8c05f", "2025-02-27 10:09:05")</x:f>
      </x:c>
      <x:c r="N242" s="2" t="e">
        <x:f>IFERROR(__xludf.DUMMYFUNCTION("IF(ISDATE(TO_DATE(L242)), MAX(0, ROUND(TODAY() - TO_DATE(L242)), 0), ""-"")"),490.0)</x:f>
      </x:c>
      <x:c r="O242" s="2" t="e">
        <x:f>IFERROR(__xludf.DUMMYFUNCTION("IF(ISDATE(TO_DATE(M242)), MAX(0, ROUND(TODAY() - TO_DATE(M242)), 0), ""-"")"),491.0)</x:f>
      </x:c>
      <x:c r="P242" s="6">
        <x:v>0.0101</x:v>
      </x:c>
      <x:c r="Q242" s="6">
        <x:v>249.9193</x:v>
      </x:c>
      <x:c r="R242" s="7">
        <x:v>963088.4189</x:v>
      </x:c>
      <x:c r="S242" s="7">
        <x:v>963500.0</x:v>
      </x:c>
      <x:c r="T242" s="7">
        <x:v>66487.63</x:v>
      </x:c>
      <x:c r="U242" s="7">
        <x:v>364165.75000000006</x:v>
      </x:c>
      <x:c r="V242" s="8" t="n">
        <x:f t="array" ref="V242">-0.19%</x:f>
        <x:v>-0.0019</x:v>
      </x:c>
      <x:c r="W242" s="8" t="n">
        <x:f t="array" ref="W242">0.11%</x:f>
        <x:v>0.0011</x:v>
      </x:c>
      <x:c r="X242" s="8" t="n">
        <x:f t="array" ref="X242">-0.78%</x:f>
        <x:v>-0.0078000000000000005</x:v>
      </x:c>
      <x:c r="Y242" s="8" t="n">
        <x:f t="array" ref="Y242">-1.81%</x:f>
        <x:v>-0.0181</x:v>
      </x:c>
      <x:c r="Z242" s="9" t="s">
        <x:v>521</x:v>
      </x:c>
      <x:c r="AA242" s="60" t="str">
        <x:v>Snapshot only — run GitHub workflow</x:v>
      </x:c>
      <x:c r="AB242" s="61" t="n">
        <x:f>IFERROR(H242/G242,"")</x:f>
        <x:v>5039053.7894736845</x:v>
      </x:c>
      <x:c r="AC242" s="60" t="str"/>
      <x:c r="AD242" s="60" t="str"/>
      <x:c r="AE242" s="60" t="str"/>
      <x:c r="AF242" s="60" t="str"/>
    </x:row>
    <x:row r="243" ht="15.75" customHeight="1">
      <x:c r="A243" s="2" t="s">
        <x:v>524</x:v>
      </x:c>
      <x:c r="B243" s="2" t="s">
        <x:v>525</x:v>
      </x:c>
      <x:c r="C243" s="3" t="e">
        <x:f>HYPERLINK("https://scan.mypinata.cloud/ipfs/bafybeih3olry3is4e4lzm7rus5l3h6zrphcal5a7ayfkhzm5oivjro2cp4/#/address/0xCe1d47CE3A91E054C111d9cC3B4bae50843200da", "0xCe1d47CE3A91E054C111d9cC3B4bae50843200da")</x:f>
      </x:c>
      <x:c r="D243" s="4" t="str">
        <x:f t="shared" si="15"/>
        <x:v>Atropa Dev</x:v>
      </x:c>
      <x:c r="E243" s="4" t="e">
        <x:f>HYPERLINK("https://scan.mypinata.cloud/ipfs/bafybeih3olry3is4e4lzm7rus5l3h6zrphcal5a7ayfkhzm5oivjro2cp4/#/block/20607874", "20607874")</x:f>
      </x:c>
      <x:c r="F243" s="4" t="e">
        <x:f>HYPERLINK("https://scan.mypinata.cloud/ipfs/bafybeih3olry3is4e4lzm7rus5l3h6zrphcal5a7ayfkhzm5oivjro2cp4/#/tx/0x866cdbe26281c722bef53cf8831883c9a6cfaf84271c2ef614ac56f44dc55844", "2024-06-12 00:10:55")</x:f>
      </x:c>
      <x:c r="G243" s="5">
        <x:v>21.0</x:v>
      </x:c>
      <x:c r="H243" s="5">
        <x:v>1552.0</x:v>
      </x:c>
      <x:c r="I243" s="5">
        <x:v>1551.9667576134739</x:v>
      </x:c>
      <x:c r="J243" s="5">
        <x:v>1531.0</x:v>
      </x:c>
      <x:c r="K243" s="5">
        <x:v>0.033242386526178</x:v>
      </x:c>
      <x:c r="L243" s="4" t="e">
        <x:f>HYPERLINK("https://scan.mypinata.cloud/ipfs/bafybeih3olry3is4e4lzm7rus5l3h6zrphcal5a7ayfkhzm5oivjro2cp4/#/tx/0x4f2999c32650dc9b23d420db75e264fa72a7a8ecbda0ffa65f8962635175977b", "2024-06-12 00:22:55")</x:f>
      </x:c>
      <x:c r="M243" s="4" t="e">
        <x:f>HYPERLINK("https://scan.mypinata.cloud/ipfs/bafybeih3olry3is4e4lzm7rus5l3h6zrphcal5a7ayfkhzm5oivjro2cp4/#/tx/0xe676d627488367d487497e25adf80826d64b044283707eab840c668a6697af65", "2025-02-26 23:47:55")</x:f>
      </x:c>
      <x:c r="N243" s="2" t="e">
        <x:f>IFERROR(__xludf.DUMMYFUNCTION("IF(ISDATE(TO_DATE(L243)), MAX(0, ROUND(TODAY() - TO_DATE(L243)), 0), ""-"")"),751.0)</x:f>
      </x:c>
      <x:c r="O243" s="2" t="e">
        <x:f>IFERROR(__xludf.DUMMYFUNCTION("IF(ISDATE(TO_DATE(M243)), MAX(0, ROUND(TODAY() - TO_DATE(M243)), 0), ""-"")"),491.0)</x:f>
      </x:c>
      <x:c r="P243" s="6">
        <x:v>9.32</x:v>
      </x:c>
      <x:c r="Q243" s="6">
        <x:v>233501.2132</x:v>
      </x:c>
      <x:c r="R243" s="7">
        <x:v>14464.64</x:v>
      </x:c>
      <x:c r="S243" s="7">
        <x:v>14474.0</x:v>
      </x:c>
      <x:c r="T243" s="7">
        <x:v>582.69</x:v>
      </x:c>
      <x:c r="U243" s="7">
        <x:v>13200.79</x:v>
      </x:c>
      <x:c r="V243" s="2" t="s">
        <x:v>28</x:v>
      </x:c>
      <x:c r="W243" s="2" t="s">
        <x:v>28</x:v>
      </x:c>
      <x:c r="X243" s="2" t="s">
        <x:v>28</x:v>
      </x:c>
      <x:c r="Y243" s="2" t="s">
        <x:v>28</x:v>
      </x:c>
      <x:c r="Z243" s="9" t="s">
        <x:v>526</x:v>
      </x:c>
      <x:c r="AA243" s="60" t="str">
        <x:v>Snapshot only — run GitHub workflow</x:v>
      </x:c>
      <x:c r="AB243" s="61" t="n">
        <x:f>IFERROR(H243/G243,"")</x:f>
        <x:v>73.9047619047619</x:v>
      </x:c>
      <x:c r="AC243" s="60" t="str"/>
      <x:c r="AD243" s="60" t="str"/>
      <x:c r="AE243" s="60" t="str"/>
      <x:c r="AF243" s="60" t="str"/>
    </x:row>
    <x:row r="244" ht="15.75" customHeight="1">
      <x:c r="A244" s="2" t="s">
        <x:v>527</x:v>
      </x:c>
      <x:c r="B244" s="2" t="s">
        <x:v>528</x:v>
      </x:c>
      <x:c r="C244" s="3" t="e">
        <x:f>HYPERLINK("https://scan.mypinata.cloud/ipfs/bafybeih3olry3is4e4lzm7rus5l3h6zrphcal5a7ayfkhzm5oivjro2cp4/#/address/0x8C7C7B79df33A846e50EE753487DE96f6ED87a2a", "0x8C7C7B79df33A846e50EE753487DE96f6ED87a2a")</x:f>
      </x:c>
      <x:c r="D244" s="4" t="str">
        <x:f t="shared" si="15"/>
        <x:v>Atropa Dev</x:v>
      </x:c>
      <x:c r="E244" s="4" t="e">
        <x:f>HYPERLINK("https://scan.mypinata.cloud/ipfs/bafybeih3olry3is4e4lzm7rus5l3h6zrphcal5a7ayfkhzm5oivjro2cp4/#/block/20742816", "20742816")</x:f>
      </x:c>
      <x:c r="F244" s="4" t="e">
        <x:f>HYPERLINK("https://scan.mypinata.cloud/ipfs/bafybeih3olry3is4e4lzm7rus5l3h6zrphcal5a7ayfkhzm5oivjro2cp4/#/tx/0x783655e44746f48699cdc4ff3e820be8fedf417fab98898620a29a175cbf031b", "2024-06-27 20:03:45")</x:f>
      </x:c>
      <x:c r="G244" s="5">
        <x:v>0.0</x:v>
      </x:c>
      <x:c r="H244" s="5">
        <x:v>0.0</x:v>
      </x:c>
      <x:c r="I244" s="5">
        <x:v>0.0</x:v>
      </x:c>
      <x:c r="J244" s="5">
        <x:v>0.0</x:v>
      </x:c>
      <x:c r="K244" s="5">
        <x:v>0.0</x:v>
      </x:c>
      <x:c r="L244" s="2" t="s">
        <x:v>28</x:v>
      </x:c>
      <x:c r="M244" s="2" t="s">
        <x:v>28</x:v>
      </x:c>
      <x:c r="N244" s="2" t="e">
        <x:f>IFERROR(__xludf.DUMMYFUNCTION("IF(ISDATE(TO_DATE(L244)), MAX(0, ROUND(TODAY() - TO_DATE(L244)), 0), ""-"")"),"-")</x:f>
      </x:c>
      <x:c r="O244" s="2" t="e">
        <x:f>IFERROR(__xludf.DUMMYFUNCTION("IF(ISDATE(TO_DATE(M244)), MAX(0, ROUND(TODAY() - TO_DATE(M244)), 0), ""-"")"),"-")</x:f>
      </x:c>
      <x:c r="P244" s="2" t="s">
        <x:v>28</x:v>
      </x:c>
      <x:c r="Q244" s="2" t="s">
        <x:v>28</x:v>
      </x:c>
      <x:c r="R244" s="2" t="s">
        <x:v>28</x:v>
      </x:c>
      <x:c r="S244" s="2" t="s">
        <x:v>28</x:v>
      </x:c>
      <x:c r="T244" s="2" t="s">
        <x:v>28</x:v>
      </x:c>
      <x:c r="U244" s="2" t="s">
        <x:v>28</x:v>
      </x:c>
      <x:c r="V244" s="2" t="s">
        <x:v>28</x:v>
      </x:c>
      <x:c r="W244" s="2" t="s">
        <x:v>28</x:v>
      </x:c>
      <x:c r="X244" s="2" t="s">
        <x:v>28</x:v>
      </x:c>
      <x:c r="Y244" s="2" t="s">
        <x:v>28</x:v>
      </x:c>
      <x:c r="Z244" s="9" t="s">
        <x:v>529</x:v>
      </x:c>
      <x:c r="AA244" s="60" t="str">
        <x:v>Snapshot only — run GitHub workflow</x:v>
      </x:c>
      <x:c r="AB244" s="61" t="str">
        <x:f>IFERROR(H244/G244,"")</x:f>
      </x:c>
      <x:c r="AC244" s="60" t="str"/>
      <x:c r="AD244" s="60" t="str"/>
      <x:c r="AE244" s="60" t="str"/>
      <x:c r="AF244" s="60" t="str"/>
    </x:row>
    <x:row r="245" ht="15.75" customHeight="1">
      <x:c r="A245" s="2" t="s">
        <x:v>527</x:v>
      </x:c>
      <x:c r="B245" s="2" t="s">
        <x:v>528</x:v>
      </x:c>
      <x:c r="C245" s="3" t="e">
        <x:f>HYPERLINK("https://scan.mypinata.cloud/ipfs/bafybeih3olry3is4e4lzm7rus5l3h6zrphcal5a7ayfkhzm5oivjro2cp4/#/address/0x731D8bBb9468c945BE208B1d689A1aEFF0df4435", "0x731D8bBb9468c945BE208B1d689A1aEFF0df4435")</x:f>
      </x:c>
      <x:c r="D245" s="4" t="str">
        <x:f t="shared" si="15"/>
        <x:v>Atropa Dev</x:v>
      </x:c>
      <x:c r="E245" s="4" t="e">
        <x:f>HYPERLINK("https://scan.mypinata.cloud/ipfs/bafybeih3olry3is4e4lzm7rus5l3h6zrphcal5a7ayfkhzm5oivjro2cp4/#/block/20742845", "20742845")</x:f>
      </x:c>
      <x:c r="F245" s="4" t="e">
        <x:f>HYPERLINK("https://scan.mypinata.cloud/ipfs/bafybeih3olry3is4e4lzm7rus5l3h6zrphcal5a7ayfkhzm5oivjro2cp4/#/tx/0x3b74b2bfdf3b2187f37424b2536fe86747e5cf1515947843e33d760e9a324c1b", "2024-06-27 20:08:35")</x:f>
      </x:c>
      <x:c r="G245" s="5">
        <x:v>0.0</x:v>
      </x:c>
      <x:c r="H245" s="5">
        <x:v>0.0</x:v>
      </x:c>
      <x:c r="I245" s="5">
        <x:v>0.0</x:v>
      </x:c>
      <x:c r="J245" s="5">
        <x:v>0.0</x:v>
      </x:c>
      <x:c r="K245" s="5">
        <x:v>0.0</x:v>
      </x:c>
      <x:c r="L245" s="2" t="s">
        <x:v>28</x:v>
      </x:c>
      <x:c r="M245" s="2" t="s">
        <x:v>28</x:v>
      </x:c>
      <x:c r="N245" s="2" t="e">
        <x:f>IFERROR(__xludf.DUMMYFUNCTION("IF(ISDATE(TO_DATE(L245)), MAX(0, ROUND(TODAY() - TO_DATE(L245)), 0), ""-"")"),"-")</x:f>
      </x:c>
      <x:c r="O245" s="2" t="e">
        <x:f>IFERROR(__xludf.DUMMYFUNCTION("IF(ISDATE(TO_DATE(M245)), MAX(0, ROUND(TODAY() - TO_DATE(M245)), 0), ""-"")"),"-")</x:f>
      </x:c>
      <x:c r="P245" s="2" t="s">
        <x:v>28</x:v>
      </x:c>
      <x:c r="Q245" s="2" t="s">
        <x:v>28</x:v>
      </x:c>
      <x:c r="R245" s="2" t="s">
        <x:v>28</x:v>
      </x:c>
      <x:c r="S245" s="2" t="s">
        <x:v>28</x:v>
      </x:c>
      <x:c r="T245" s="2" t="s">
        <x:v>28</x:v>
      </x:c>
      <x:c r="U245" s="2" t="s">
        <x:v>28</x:v>
      </x:c>
      <x:c r="V245" s="2" t="s">
        <x:v>28</x:v>
      </x:c>
      <x:c r="W245" s="2" t="s">
        <x:v>28</x:v>
      </x:c>
      <x:c r="X245" s="2" t="s">
        <x:v>28</x:v>
      </x:c>
      <x:c r="Y245" s="2" t="s">
        <x:v>28</x:v>
      </x:c>
      <x:c r="Z245" s="9" t="s">
        <x:v>529</x:v>
      </x:c>
      <x:c r="AA245" s="60" t="str">
        <x:v>Snapshot only — run GitHub workflow</x:v>
      </x:c>
      <x:c r="AB245" s="61" t="str">
        <x:f>IFERROR(H245/G245,"")</x:f>
      </x:c>
      <x:c r="AC245" s="60" t="str"/>
      <x:c r="AD245" s="60" t="str"/>
      <x:c r="AE245" s="60" t="str"/>
      <x:c r="AF245" s="60" t="str"/>
    </x:row>
    <x:row r="246" ht="15.75" customHeight="1">
      <x:c r="A246" s="2" t="s">
        <x:v>527</x:v>
      </x:c>
      <x:c r="B246" s="2" t="s">
        <x:v>528</x:v>
      </x:c>
      <x:c r="C246" s="3" t="e">
        <x:f>HYPERLINK("https://scan.mypinata.cloud/ipfs/bafybeih3olry3is4e4lzm7rus5l3h6zrphcal5a7ayfkhzm5oivjro2cp4/#/address/0xe780Bb76a24345734B1B94e2b4Cc8D64f23aD822", "0xe780Bb76a24345734B1B94e2b4Cc8D64f23aD822")</x:f>
      </x:c>
      <x:c r="D246" s="4" t="str">
        <x:f t="shared" si="15"/>
        <x:v>Atropa Dev</x:v>
      </x:c>
      <x:c r="E246" s="4" t="e">
        <x:f>HYPERLINK("https://scan.mypinata.cloud/ipfs/bafybeih3olry3is4e4lzm7rus5l3h6zrphcal5a7ayfkhzm5oivjro2cp4/#/block/20742856", "20742856")</x:f>
      </x:c>
      <x:c r="F246" s="4" t="e">
        <x:f>HYPERLINK("https://scan.mypinata.cloud/ipfs/bafybeih3olry3is4e4lzm7rus5l3h6zrphcal5a7ayfkhzm5oivjro2cp4/#/tx/0x5d287a83513bf4fed8aafc2fb2596ec31e001057127141b7f22f9dbe58eb5468", "2024-06-27 20:10:25")</x:f>
      </x:c>
      <x:c r="G246" s="5">
        <x:v>1551.0</x:v>
      </x:c>
      <x:c r="H246" s="5">
        <x:v>1551.0</x:v>
      </x:c>
      <x:c r="I246" s="5">
        <x:v>1551.0</x:v>
      </x:c>
      <x:c r="J246" s="5">
        <x:v>0.0</x:v>
      </x:c>
      <x:c r="K246" s="5">
        <x:v>0.0</x:v>
      </x:c>
      <x:c r="L246" s="2" t="s">
        <x:v>28</x:v>
      </x:c>
      <x:c r="M246" s="2" t="s">
        <x:v>28</x:v>
      </x:c>
      <x:c r="N246" s="2" t="e">
        <x:f>IFERROR(__xludf.DUMMYFUNCTION("IF(ISDATE(TO_DATE(L246)), MAX(0, ROUND(TODAY() - TO_DATE(L246)), 0), ""-"")"),"-")</x:f>
      </x:c>
      <x:c r="O246" s="2" t="e">
        <x:f>IFERROR(__xludf.DUMMYFUNCTION("IF(ISDATE(TO_DATE(M246)), MAX(0, ROUND(TODAY() - TO_DATE(M246)), 0), ""-"")"),"-")</x:f>
      </x:c>
      <x:c r="P246" s="2" t="s">
        <x:v>28</x:v>
      </x:c>
      <x:c r="Q246" s="2" t="s">
        <x:v>28</x:v>
      </x:c>
      <x:c r="R246" s="2" t="s">
        <x:v>28</x:v>
      </x:c>
      <x:c r="S246" s="2" t="s">
        <x:v>28</x:v>
      </x:c>
      <x:c r="T246" s="2" t="s">
        <x:v>28</x:v>
      </x:c>
      <x:c r="U246" s="2" t="s">
        <x:v>28</x:v>
      </x:c>
      <x:c r="V246" s="2" t="s">
        <x:v>28</x:v>
      </x:c>
      <x:c r="W246" s="2" t="s">
        <x:v>28</x:v>
      </x:c>
      <x:c r="X246" s="2" t="s">
        <x:v>28</x:v>
      </x:c>
      <x:c r="Y246" s="2" t="s">
        <x:v>28</x:v>
      </x:c>
      <x:c r="Z246" s="9" t="s">
        <x:v>529</x:v>
      </x:c>
      <x:c r="AA246" s="60" t="str">
        <x:v>Snapshot only — run GitHub workflow</x:v>
      </x:c>
      <x:c r="AB246" s="61" t="n">
        <x:f>IFERROR(H246/G246,"")</x:f>
        <x:v>1</x:v>
      </x:c>
      <x:c r="AC246" s="60" t="str"/>
      <x:c r="AD246" s="60" t="str"/>
      <x:c r="AE246" s="60" t="str"/>
      <x:c r="AF246" s="60" t="str"/>
    </x:row>
    <x:row r="247" ht="15.75" customHeight="1">
      <x:c r="A247" s="2" t="s">
        <x:v>527</x:v>
      </x:c>
      <x:c r="B247" s="2" t="s">
        <x:v>528</x:v>
      </x:c>
      <x:c r="C247" s="3" t="e">
        <x:f>HYPERLINK("https://scan.mypinata.cloud/ipfs/bafybeih3olry3is4e4lzm7rus5l3h6zrphcal5a7ayfkhzm5oivjro2cp4/#/address/0x1efD3D64f98b212B24c95F8dccc44c3a4fd52aE7", "0x1efD3D64f98b212B24c95F8dccc44c3a4fd52aE7")</x:f>
      </x:c>
      <x:c r="D247" s="4" t="str">
        <x:f t="shared" si="15"/>
        <x:v>Atropa Dev</x:v>
      </x:c>
      <x:c r="E247" s="4" t="e">
        <x:f>HYPERLINK("https://scan.mypinata.cloud/ipfs/bafybeih3olry3is4e4lzm7rus5l3h6zrphcal5a7ayfkhzm5oivjro2cp4/#/block/20742977", "20742977")</x:f>
      </x:c>
      <x:c r="F247" s="4" t="e">
        <x:f>HYPERLINK("https://scan.mypinata.cloud/ipfs/bafybeih3olry3is4e4lzm7rus5l3h6zrphcal5a7ayfkhzm5oivjro2cp4/#/tx/0xbcbba585ef8ff6d72bb3bb3e40c9e722464ea097322daaa257b793e0c618eab4", "2024-06-27 20:30:55")</x:f>
      </x:c>
      <x:c r="G247" s="5">
        <x:v>1551.0</x:v>
      </x:c>
      <x:c r="H247" s="5">
        <x:v>1591.0</x:v>
      </x:c>
      <x:c r="I247" s="5">
        <x:v>1591.0</x:v>
      </x:c>
      <x:c r="J247" s="5">
        <x:v>40.0</x:v>
      </x:c>
      <x:c r="K247" s="5">
        <x:v>0.0</x:v>
      </x:c>
      <x:c r="L247" s="4" t="e">
        <x:f>HYPERLINK("https://scan.mypinata.cloud/ipfs/bafybeih3olry3is4e4lzm7rus5l3h6zrphcal5a7ayfkhzm5oivjro2cp4/#/tx/0x7ec4e4826f1ad80353287c7ee2922e7314ed639b9d3f5fa06253cba03e4900e5", "2024-06-27 20:44:25")</x:f>
      </x:c>
      <x:c r="M247" s="2" t="s">
        <x:v>28</x:v>
      </x:c>
      <x:c r="N247" s="2" t="e">
        <x:f>IFERROR(__xludf.DUMMYFUNCTION("IF(ISDATE(TO_DATE(L247)), MAX(0, ROUND(TODAY() - TO_DATE(L247)), 0), ""-"")"),735.0)</x:f>
      </x:c>
      <x:c r="O247" s="2" t="e">
        <x:f>IFERROR(__xludf.DUMMYFUNCTION("IF(ISDATE(TO_DATE(M247)), MAX(0, ROUND(TODAY() - TO_DATE(M247)), 0), ""-"")"),"-")</x:f>
      </x:c>
      <x:c r="P247" s="2" t="s">
        <x:v>28</x:v>
      </x:c>
      <x:c r="Q247" s="2" t="s">
        <x:v>28</x:v>
      </x:c>
      <x:c r="R247" s="2" t="s">
        <x:v>28</x:v>
      </x:c>
      <x:c r="S247" s="2" t="s">
        <x:v>28</x:v>
      </x:c>
      <x:c r="T247" s="2" t="s">
        <x:v>28</x:v>
      </x:c>
      <x:c r="U247" s="2" t="s">
        <x:v>28</x:v>
      </x:c>
      <x:c r="V247" s="2" t="s">
        <x:v>28</x:v>
      </x:c>
      <x:c r="W247" s="2" t="s">
        <x:v>28</x:v>
      </x:c>
      <x:c r="X247" s="2" t="s">
        <x:v>28</x:v>
      </x:c>
      <x:c r="Y247" s="2" t="s">
        <x:v>28</x:v>
      </x:c>
      <x:c r="Z247" s="9" t="s">
        <x:v>530</x:v>
      </x:c>
      <x:c r="AA247" s="60" t="str">
        <x:v>Snapshot only — run GitHub workflow</x:v>
      </x:c>
      <x:c r="AB247" s="61" t="n">
        <x:f>IFERROR(H247/G247,"")</x:f>
        <x:v>1.0257898130238556</x:v>
      </x:c>
      <x:c r="AC247" s="60" t="str"/>
      <x:c r="AD247" s="60" t="str"/>
      <x:c r="AE247" s="60" t="str"/>
      <x:c r="AF247" s="60" t="str"/>
    </x:row>
    <x:row r="248" ht="15.75" customHeight="1">
      <x:c r="A248" s="2" t="s">
        <x:v>527</x:v>
      </x:c>
      <x:c r="B248" s="2" t="s">
        <x:v>528</x:v>
      </x:c>
      <x:c r="C248" s="3" t="e">
        <x:f>HYPERLINK("https://scan.mypinata.cloud/ipfs/bafybeih3olry3is4e4lzm7rus5l3h6zrphcal5a7ayfkhzm5oivjro2cp4/#/address/0x13e4B2649A63901067840dA4Fc5D589e957D4e0a", "0x13e4B2649A63901067840dA4Fc5D589e957D4e0a")</x:f>
      </x:c>
      <x:c r="D248" s="4" t="str">
        <x:f t="shared" si="15"/>
        <x:v>Atropa Dev</x:v>
      </x:c>
      <x:c r="E248" s="4" t="e">
        <x:f>HYPERLINK("https://scan.mypinata.cloud/ipfs/bafybeih3olry3is4e4lzm7rus5l3h6zrphcal5a7ayfkhzm5oivjro2cp4/#/block/20743116", "20743116")</x:f>
      </x:c>
      <x:c r="F248" s="4" t="e">
        <x:f>HYPERLINK("https://scan.mypinata.cloud/ipfs/bafybeih3olry3is4e4lzm7rus5l3h6zrphcal5a7ayfkhzm5oivjro2cp4/#/tx/0x1caeba52a4d1dedbb93188395f7346b3da2af5807f5af4720cc154b12c30ad6c", "2024-06-27 20:55:05")</x:f>
      </x:c>
      <x:c r="G248" s="5">
        <x:v>1551.0</x:v>
      </x:c>
      <x:c r="H248" s="5">
        <x:v>1571.0</x:v>
      </x:c>
      <x:c r="I248" s="5">
        <x:v>1571.0</x:v>
      </x:c>
      <x:c r="J248" s="5">
        <x:v>20.0</x:v>
      </x:c>
      <x:c r="K248" s="5">
        <x:v>0.0</x:v>
      </x:c>
      <x:c r="L248" s="4" t="e">
        <x:f>HYPERLINK("https://scan.mypinata.cloud/ipfs/bafybeih3olry3is4e4lzm7rus5l3h6zrphcal5a7ayfkhzm5oivjro2cp4/#/tx/0x11653dd3bbfd2e46d3a7f508661a4374d53b526054789ffff6db8ef190c9cf94", "2024-06-27 21:04:25")</x:f>
      </x:c>
      <x:c r="M248" s="2" t="s">
        <x:v>28</x:v>
      </x:c>
      <x:c r="N248" s="2" t="e">
        <x:f>IFERROR(__xludf.DUMMYFUNCTION("IF(ISDATE(TO_DATE(L248)), MAX(0, ROUND(TODAY() - TO_DATE(L248)), 0), ""-"")"),735.0)</x:f>
      </x:c>
      <x:c r="O248" s="2" t="e">
        <x:f>IFERROR(__xludf.DUMMYFUNCTION("IF(ISDATE(TO_DATE(M248)), MAX(0, ROUND(TODAY() - TO_DATE(M248)), 0), ""-"")"),"-")</x:f>
      </x:c>
      <x:c r="P248" s="2" t="s">
        <x:v>28</x:v>
      </x:c>
      <x:c r="Q248" s="2" t="s">
        <x:v>28</x:v>
      </x:c>
      <x:c r="R248" s="2" t="s">
        <x:v>28</x:v>
      </x:c>
      <x:c r="S248" s="2" t="s">
        <x:v>28</x:v>
      </x:c>
      <x:c r="T248" s="2" t="s">
        <x:v>28</x:v>
      </x:c>
      <x:c r="U248" s="2" t="s">
        <x:v>28</x:v>
      </x:c>
      <x:c r="V248" s="2" t="s">
        <x:v>28</x:v>
      </x:c>
      <x:c r="W248" s="2" t="s">
        <x:v>28</x:v>
      </x:c>
      <x:c r="X248" s="2" t="s">
        <x:v>28</x:v>
      </x:c>
      <x:c r="Y248" s="2" t="s">
        <x:v>28</x:v>
      </x:c>
      <x:c r="Z248" s="9" t="s">
        <x:v>530</x:v>
      </x:c>
      <x:c r="AA248" s="60" t="str">
        <x:v>Snapshot only — run GitHub workflow</x:v>
      </x:c>
      <x:c r="AB248" s="61" t="n">
        <x:f>IFERROR(H248/G248,"")</x:f>
        <x:v>1.0128949065119277</x:v>
      </x:c>
      <x:c r="AC248" s="60" t="str"/>
      <x:c r="AD248" s="60" t="str"/>
      <x:c r="AE248" s="60" t="str"/>
      <x:c r="AF248" s="60" t="str"/>
    </x:row>
    <x:row r="249" ht="15.75" customHeight="1">
      <x:c r="A249" s="2" t="s">
        <x:v>531</x:v>
      </x:c>
      <x:c r="B249" s="2" t="s">
        <x:v>532</x:v>
      </x:c>
      <x:c r="C249" s="3" t="e">
        <x:f>HYPERLINK("https://scan.mypinata.cloud/ipfs/bafybeih3olry3is4e4lzm7rus5l3h6zrphcal5a7ayfkhzm5oivjro2cp4/#/address/0xEf2125f5d1f7A3d68038F27e681258d13a73E718", "0xEf2125f5d1f7A3d68038F27e681258d13a73E718")</x:f>
      </x:c>
      <x:c r="D249" s="4" t="str">
        <x:f t="shared" si="15"/>
        <x:v>Atropa Dev</x:v>
      </x:c>
      <x:c r="E249" s="4" t="e">
        <x:f>HYPERLINK("https://scan.mypinata.cloud/ipfs/bafybeih3olry3is4e4lzm7rus5l3h6zrphcal5a7ayfkhzm5oivjro2cp4/#/block/20973120", "20973120")</x:f>
      </x:c>
      <x:c r="F249" s="4" t="e">
        <x:f>HYPERLINK("https://scan.mypinata.cloud/ipfs/bafybeih3olry3is4e4lzm7rus5l3h6zrphcal5a7ayfkhzm5oivjro2cp4/#/tx/0x7f8da72fac49637268adc966b5ade4158c07d5282cb6f475893c5900272cb981", "2024-07-24 23:40:45")</x:f>
      </x:c>
      <x:c r="G249" s="5">
        <x:v>1.0</x:v>
      </x:c>
      <x:c r="H249" s="5">
        <x:v>1.0</x:v>
      </x:c>
      <x:c r="I249" s="5">
        <x:v>1.0</x:v>
      </x:c>
      <x:c r="J249" s="5">
        <x:v>0.0</x:v>
      </x:c>
      <x:c r="K249" s="5">
        <x:v>0.0</x:v>
      </x:c>
      <x:c r="L249" s="2" t="s">
        <x:v>28</x:v>
      </x:c>
      <x:c r="M249" s="2" t="s">
        <x:v>28</x:v>
      </x:c>
      <x:c r="N249" s="2" t="e">
        <x:f>IFERROR(__xludf.DUMMYFUNCTION("IF(ISDATE(TO_DATE(L249)), MAX(0, ROUND(TODAY() - TO_DATE(L249)), 0), ""-"")"),"-")</x:f>
      </x:c>
      <x:c r="O249" s="2" t="e">
        <x:f>IFERROR(__xludf.DUMMYFUNCTION("IF(ISDATE(TO_DATE(M249)), MAX(0, ROUND(TODAY() - TO_DATE(M249)), 0), ""-"")"),"-")</x:f>
      </x:c>
      <x:c r="P249" s="6">
        <x:v>2772.17</x:v>
      </x:c>
      <x:c r="Q249" s="6">
        <x:v>7.10987639099E7</x:v>
      </x:c>
      <x:c r="R249" s="7">
        <x:v>2772.17</x:v>
      </x:c>
      <x:c r="S249" s="7">
        <x:v>2772.0</x:v>
      </x:c>
      <x:c r="T249" s="7">
        <x:v>6.0</x:v>
      </x:c>
      <x:c r="U249" s="7">
        <x:v>390.63</x:v>
      </x:c>
      <x:c r="V249" s="2" t="s">
        <x:v>28</x:v>
      </x:c>
      <x:c r="W249" s="2" t="s">
        <x:v>28</x:v>
      </x:c>
      <x:c r="X249" s="2" t="s">
        <x:v>28</x:v>
      </x:c>
      <x:c r="Y249" s="2" t="s">
        <x:v>28</x:v>
      </x:c>
      <x:c r="Z249" s="9" t="s">
        <x:v>533</x:v>
      </x:c>
      <x:c r="AA249" s="60" t="str">
        <x:v>Snapshot only — run GitHub workflow</x:v>
      </x:c>
      <x:c r="AB249" s="61" t="n">
        <x:f>IFERROR(H249/G249,"")</x:f>
        <x:v>1</x:v>
      </x:c>
      <x:c r="AC249" s="60" t="str"/>
      <x:c r="AD249" s="60" t="str"/>
      <x:c r="AE249" s="60" t="str"/>
      <x:c r="AF249" s="60" t="str"/>
    </x:row>
    <x:row r="250" ht="15.75" customHeight="1">
      <x:c r="A250" s="2" t="s">
        <x:v>534</x:v>
      </x:c>
      <x:c r="B250" s="2" t="s">
        <x:v>535</x:v>
      </x:c>
      <x:c r="C250" s="3" t="e">
        <x:f>HYPERLINK("https://scan.mypinata.cloud/ipfs/bafybeih3olry3is4e4lzm7rus5l3h6zrphcal5a7ayfkhzm5oivjro2cp4/#/address/0x173216Ed67eBF3E6767D86e8b3Ff32e0d64437bF", "0x173216Ed67eBF3E6767D86e8b3Ff32e0d64437bF")</x:f>
      </x:c>
      <x:c r="D250" s="4" t="str">
        <x:f t="shared" si="15"/>
        <x:v>Atropa Dev</x:v>
      </x:c>
      <x:c r="E250" s="4" t="e">
        <x:f>HYPERLINK("https://scan.mypinata.cloud/ipfs/bafybeih3olry3is4e4lzm7rus5l3h6zrphcal5a7ayfkhzm5oivjro2cp4/#/block/20978783", "20978783")</x:f>
      </x:c>
      <x:c r="F250" s="4" t="e">
        <x:f>HYPERLINK("https://scan.mypinata.cloud/ipfs/bafybeih3olry3is4e4lzm7rus5l3h6zrphcal5a7ayfkhzm5oivjro2cp4/#/tx/0xe29c106a0f42a096e5324294d355059cbc41cb1127ee534b0e38dbfcfa2d1a64", "2024-07-25 15:32:05")</x:f>
      </x:c>
      <x:c r="G250" s="5">
        <x:v>0.0</x:v>
      </x:c>
      <x:c r="H250" s="5">
        <x:v>1.1579208923731619</x:v>
      </x:c>
      <x:c r="I250" s="5">
        <x:v>1.1579208923731619</x:v>
      </x:c>
      <x:c r="J250" s="5">
        <x:v>1.1579208923731619</x:v>
      </x:c>
      <x:c r="K250" s="5">
        <x:v>0.0</x:v>
      </x:c>
      <x:c r="L250" s="4" t="e">
        <x:f>HYPERLINK("https://scan.mypinata.cloud/ipfs/bafybeih3olry3is4e4lzm7rus5l3h6zrphcal5a7ayfkhzm5oivjro2cp4/#/tx/0x949f9a79ca02d115f0e715eae4aa3a708ded5d141d9d27415febccf3c32d0bb4", "2024-10-15 16:50:15")</x:f>
      </x:c>
      <x:c r="M250" s="2" t="s">
        <x:v>28</x:v>
      </x:c>
      <x:c r="N250" s="2" t="e">
        <x:f>IFERROR(__xludf.DUMMYFUNCTION("IF(ISDATE(TO_DATE(L250)), MAX(0, ROUND(TODAY() - TO_DATE(L250)), 0), ""-"")"),625.0)</x:f>
      </x:c>
      <x:c r="O250" s="2" t="e">
        <x:f>IFERROR(__xludf.DUMMYFUNCTION("IF(ISDATE(TO_DATE(M250)), MAX(0, ROUND(TODAY() - TO_DATE(M250)), 0), ""-"")"),"-")</x:f>
      </x:c>
      <x:c r="P250" s="2" t="s">
        <x:v>28</x:v>
      </x:c>
      <x:c r="Q250" s="2" t="s">
        <x:v>28</x:v>
      </x:c>
      <x:c r="R250" s="2" t="s">
        <x:v>28</x:v>
      </x:c>
      <x:c r="S250" s="2" t="s">
        <x:v>28</x:v>
      </x:c>
      <x:c r="T250" s="2" t="s">
        <x:v>28</x:v>
      </x:c>
      <x:c r="U250" s="2" t="s">
        <x:v>28</x:v>
      </x:c>
      <x:c r="V250" s="2" t="s">
        <x:v>28</x:v>
      </x:c>
      <x:c r="W250" s="2" t="s">
        <x:v>28</x:v>
      </x:c>
      <x:c r="X250" s="2" t="s">
        <x:v>28</x:v>
      </x:c>
      <x:c r="Y250" s="2" t="s">
        <x:v>28</x:v>
      </x:c>
      <x:c r="Z250" s="9" t="s">
        <x:v>536</x:v>
      </x:c>
      <x:c r="AA250" s="60" t="str">
        <x:v>Snapshot only — run GitHub workflow</x:v>
      </x:c>
      <x:c r="AB250" s="61" t="str">
        <x:f>IFERROR(H250/G250,"")</x:f>
      </x:c>
      <x:c r="AC250" s="60" t="str"/>
      <x:c r="AD250" s="60" t="str"/>
      <x:c r="AE250" s="60" t="str"/>
      <x:c r="AF250" s="60" t="str"/>
    </x:row>
    <x:row r="251" ht="15.75" customHeight="1">
      <x:c r="A251" s="2" t="s">
        <x:v>537</x:v>
      </x:c>
      <x:c r="B251" s="2" t="s">
        <x:v>538</x:v>
      </x:c>
      <x:c r="C251" s="3" t="e">
        <x:f>HYPERLINK("https://scan.mypinata.cloud/ipfs/bafybeih3olry3is4e4lzm7rus5l3h6zrphcal5a7ayfkhzm5oivjro2cp4/#/address/0x61dcF6a5DF780a1e552f0f80AFAD23a9AE16755F", "0x61dcF6a5DF780a1e552f0f80AFAD23a9AE16755F")</x:f>
      </x:c>
      <x:c r="D251" s="4" t="str">
        <x:f t="shared" si="15"/>
        <x:v>Atropa Dev</x:v>
      </x:c>
      <x:c r="E251" s="4" t="e">
        <x:f>HYPERLINK("https://scan.mypinata.cloud/ipfs/bafybeih3olry3is4e4lzm7rus5l3h6zrphcal5a7ayfkhzm5oivjro2cp4/#/block/20980150", "20980150")</x:f>
      </x:c>
      <x:c r="F251" s="4" t="e">
        <x:f>HYPERLINK("https://scan.mypinata.cloud/ipfs/bafybeih3olry3is4e4lzm7rus5l3h6zrphcal5a7ayfkhzm5oivjro2cp4/#/tx/0xe6b42814919d7ba14222f20f793eea11c7cdf84cafad818a49b7ea753556ba07", "2024-07-25 19:22:35")</x:f>
      </x:c>
      <x:c r="G251" s="5">
        <x:v>3825133.0</x:v>
      </x:c>
      <x:c r="H251" s="5">
        <x:v>3856685.0</x:v>
      </x:c>
      <x:c r="I251" s="5">
        <x:v>3846384.237647972</x:v>
      </x:c>
      <x:c r="J251" s="5">
        <x:v>28120.0</x:v>
      </x:c>
      <x:c r="K251" s="5">
        <x:v>6868.762352027876</x:v>
      </x:c>
      <x:c r="L251" s="4" t="e">
        <x:f>HYPERLINK("https://scan.mypinata.cloud/ipfs/bafybeih3olry3is4e4lzm7rus5l3h6zrphcal5a7ayfkhzm5oivjro2cp4/#/tx/0x00971bb536234ab0254c1e9043230a647e763c4fcdaa73836ef65fa8f2090efd", "2025-02-22 16:30:55")</x:f>
      </x:c>
      <x:c r="M251" s="4" t="e">
        <x:f>HYPERLINK("https://scan.mypinata.cloud/ipfs/bafybeih3olry3is4e4lzm7rus5l3h6zrphcal5a7ayfkhzm5oivjro2cp4/#/tx/0x444ee628595d5e8c6e85bc1615bd815ddd33f21e3dfc23238464d7b3a1485a81", "2025-02-27 14:47:15")</x:f>
      </x:c>
      <x:c r="N251" s="2" t="e">
        <x:f>IFERROR(__xludf.DUMMYFUNCTION("IF(ISDATE(TO_DATE(L251)), MAX(0, ROUND(TODAY() - TO_DATE(L251)), 0), ""-"")"),495.0)</x:f>
      </x:c>
      <x:c r="O251" s="2" t="e">
        <x:f>IFERROR(__xludf.DUMMYFUNCTION("IF(ISDATE(TO_DATE(M251)), MAX(0, ROUND(TODAY() - TO_DATE(M251)), 0), ""-"")"),490.0)</x:f>
      </x:c>
      <x:c r="P251" s="6">
        <x:v>315.45</x:v>
      </x:c>
      <x:c r="Q251" s="6">
        <x:v>7785530.3861</x:v>
      </x:c>
      <x:c r="R251" s="7">
        <x:v>1.21659128325E9</x:v>
      </x:c>
      <x:c r="S251" s="7">
        <x:v>1.214440359E9</x:v>
      </x:c>
      <x:c r="T251" s="7">
        <x:v>86357.30999999997</x:v>
      </x:c>
      <x:c r="U251" s="7">
        <x:v>5875125.209999997</x:v>
      </x:c>
      <x:c r="V251" s="2" t="s">
        <x:v>28</x:v>
      </x:c>
      <x:c r="W251" s="2" t="s">
        <x:v>28</x:v>
      </x:c>
      <x:c r="X251" s="2" t="s">
        <x:v>28</x:v>
      </x:c>
      <x:c r="Y251" s="2" t="s">
        <x:v>28</x:v>
      </x:c>
      <x:c r="Z251" s="9" t="s">
        <x:v>539</x:v>
      </x:c>
      <x:c r="AA251" s="60" t="str">
        <x:v>Snapshot only — run GitHub workflow</x:v>
      </x:c>
      <x:c r="AB251" s="61" t="n">
        <x:f>IFERROR(H251/G251,"")</x:f>
        <x:v>1.0082486020747514</x:v>
      </x:c>
      <x:c r="AC251" s="60" t="str"/>
      <x:c r="AD251" s="60" t="str"/>
      <x:c r="AE251" s="60" t="str"/>
      <x:c r="AF251" s="60" t="str"/>
    </x:row>
    <x:row r="252" ht="15.75" customHeight="1">
      <x:c r="A252" s="2" t="s">
        <x:v>540</x:v>
      </x:c>
      <x:c r="B252" s="2" t="s">
        <x:v>541</x:v>
      </x:c>
      <x:c r="C252" s="3" t="e">
        <x:f>HYPERLINK("https://scan.mypinata.cloud/ipfs/bafybeih3olry3is4e4lzm7rus5l3h6zrphcal5a7ayfkhzm5oivjro2cp4/#/address/0x5F16F6c242e038437a7ba3C903DFeDB747Db4A5c", "0x5F16F6c242e038437a7ba3C903DFeDB747Db4A5c")</x:f>
      </x:c>
      <x:c r="D252" s="4" t="str">
        <x:f t="shared" si="15"/>
        <x:v>Atropa Dev</x:v>
      </x:c>
      <x:c r="E252" s="4" t="e">
        <x:f>HYPERLINK("https://scan.mypinata.cloud/ipfs/bafybeih3olry3is4e4lzm7rus5l3h6zrphcal5a7ayfkhzm5oivjro2cp4/#/block/20981122", "20981122")</x:f>
      </x:c>
      <x:c r="F252" s="4" t="e">
        <x:f>HYPERLINK("https://scan.mypinata.cloud/ipfs/bafybeih3olry3is4e4lzm7rus5l3h6zrphcal5a7ayfkhzm5oivjro2cp4/#/tx/0x507c7478cf6b451d95fc11abaee91e8895169fc47749bf519739224084442481", "2024-07-25 22:06:25")</x:f>
      </x:c>
      <x:c r="G252" s="5">
        <x:v>5307229.0</x:v>
      </x:c>
      <x:c r="H252" s="5">
        <x:v>7906782.506</x:v>
      </x:c>
      <x:c r="I252" s="5">
        <x:v>7636664.259318438</x:v>
      </x:c>
      <x:c r="J252" s="5">
        <x:v>2599483.567</x:v>
      </x:c>
      <x:c r="K252" s="5">
        <x:v>270048.30768156186</x:v>
      </x:c>
      <x:c r="L252" s="4" t="e">
        <x:f>HYPERLINK("https://scan.mypinata.cloud/ipfs/bafybeih3olry3is4e4lzm7rus5l3h6zrphcal5a7ayfkhzm5oivjro2cp4/#/tx/0xeb717088e1b1a2e44eec46b5733bf95c04082978e1536f57a59e53eacae149ac", "2024-12-25 03:23:55")</x:f>
      </x:c>
      <x:c r="M252" s="4" t="e">
        <x:f>HYPERLINK("https://scan.mypinata.cloud/ipfs/bafybeih3olry3is4e4lzm7rus5l3h6zrphcal5a7ayfkhzm5oivjro2cp4/#/tx/0xd41737dacf9ee4c70b9266fb140349149f92eb249e5ce5a84b3981f553c8558a", "2024-12-18 02:20:15")</x:f>
      </x:c>
      <x:c r="N252" s="2" t="e">
        <x:f>IFERROR(__xludf.DUMMYFUNCTION("IF(ISDATE(TO_DATE(L252)), MAX(0, ROUND(TODAY() - TO_DATE(L252)), 0), ""-"")"),555.0)</x:f>
      </x:c>
      <x:c r="O252" s="2" t="e">
        <x:f>IFERROR(__xludf.DUMMYFUNCTION("IF(ISDATE(TO_DATE(M252)), MAX(0, ROUND(TODAY() - TO_DATE(M252)), 0), ""-"")"),562.0)</x:f>
      </x:c>
      <x:c r="P252" s="6">
        <x:v>0.02043</x:v>
      </x:c>
      <x:c r="Q252" s="6">
        <x:v>510.9501</x:v>
      </x:c>
      <x:c r="R252" s="7">
        <x:v>161535.56659758</x:v>
      </x:c>
      <x:c r="S252" s="7">
        <x:v>156075.0</x:v>
      </x:c>
      <x:c r="T252" s="7">
        <x:v>7985.540000000001</x:v>
      </x:c>
      <x:c r="U252" s="7">
        <x:v>138445.88999999993</x:v>
      </x:c>
      <x:c r="V252" s="2" t="s">
        <x:v>28</x:v>
      </x:c>
      <x:c r="W252" s="2" t="s">
        <x:v>28</x:v>
      </x:c>
      <x:c r="X252" s="2" t="s">
        <x:v>28</x:v>
      </x:c>
      <x:c r="Y252" s="2" t="s">
        <x:v>28</x:v>
      </x:c>
      <x:c r="Z252" s="9" t="s">
        <x:v>526</x:v>
      </x:c>
      <x:c r="AA252" s="60" t="str">
        <x:v>Snapshot only — run GitHub workflow</x:v>
      </x:c>
      <x:c r="AB252" s="61" t="n">
        <x:f>IFERROR(H252/G252,"")</x:f>
        <x:v>1.4898137061732215</x:v>
      </x:c>
      <x:c r="AC252" s="60" t="str"/>
      <x:c r="AD252" s="60" t="str"/>
      <x:c r="AE252" s="60" t="str"/>
      <x:c r="AF252" s="60" t="str"/>
    </x:row>
    <x:row r="253" ht="15.75" customHeight="1">
      <x:c r="A253" s="12" t="s">
        <x:v>542</x:v>
      </x:c>
      <x:c r="B253" s="12" t="s">
        <x:v>543</x:v>
      </x:c>
      <x:c r="C253" s="13" t="e">
        <x:f>HYPERLINK("https://scan.mypinata.cloud/ipfs/bafybeih3olry3is4e4lzm7rus5l3h6zrphcal5a7ayfkhzm5oivjro2cp4/#/address/0xb434ead3aB89407715F1c6FfabC397588A71CE06", "0xb434ead3aB89407715F1c6FfabC397588A71CE06")</x:f>
      </x:c>
      <x:c r="D253" s="14" t="str">
        <x:f t="shared" si="15"/>
        <x:v>Atropa Dev</x:v>
      </x:c>
      <x:c r="E253" s="14" t="e">
        <x:f>HYPERLINK("https://scan.mypinata.cloud/ipfs/bafybeih3olry3is4e4lzm7rus5l3h6zrphcal5a7ayfkhzm5oivjro2cp4/#/block/21013861", "21013861")</x:f>
      </x:c>
      <x:c r="F253" s="14" t="e">
        <x:f>HYPERLINK("https://scan.mypinata.cloud/ipfs/bafybeih3olry3is4e4lzm7rus5l3h6zrphcal5a7ayfkhzm5oivjro2cp4/#/tx/0x6365cb1c8e7e08c25decfd9dc5e80ca5c5a5e5992c94d2384ded5f740408b05f", "2024-07-29 18:15:35")</x:f>
      </x:c>
      <x:c r="G253" s="15">
        <x:v>666.0</x:v>
      </x:c>
      <x:c r="H253" s="15">
        <x:v>666.0</x:v>
      </x:c>
      <x:c r="I253" s="15">
        <x:v>666.0</x:v>
      </x:c>
      <x:c r="J253" s="15">
        <x:v>0.0</x:v>
      </x:c>
      <x:c r="K253" s="15">
        <x:v>0.0</x:v>
      </x:c>
      <x:c r="L253" s="16" t="s">
        <x:v>28</x:v>
      </x:c>
      <x:c r="M253" s="16" t="s">
        <x:v>28</x:v>
      </x:c>
      <x:c r="N253" s="16" t="e">
        <x:f>IFERROR(__xludf.DUMMYFUNCTION("IF(ISDATE(TO_DATE(L253)), MAX(0, ROUND(TODAY() - TO_DATE(L253)), 0), ""-"")"),"-")</x:f>
      </x:c>
      <x:c r="O253" s="16" t="e">
        <x:f>IFERROR(__xludf.DUMMYFUNCTION("IF(ISDATE(TO_DATE(M253)), MAX(0, ROUND(TODAY() - TO_DATE(M253)), 0), ""-"")"),"-")</x:f>
      </x:c>
      <x:c r="P253" s="17">
        <x:v>6.53</x:v>
      </x:c>
      <x:c r="Q253" s="17">
        <x:v>161835.4694</x:v>
      </x:c>
      <x:c r="R253" s="18">
        <x:v>4348.98</x:v>
      </x:c>
      <x:c r="S253" s="18">
        <x:v>4352.0</x:v>
      </x:c>
      <x:c r="T253" s="18">
        <x:v>19.69</x:v>
      </x:c>
      <x:c r="U253" s="18">
        <x:v>343.94</x:v>
      </x:c>
      <x:c r="V253" s="16" t="s">
        <x:v>28</x:v>
      </x:c>
      <x:c r="W253" s="16" t="s">
        <x:v>28</x:v>
      </x:c>
      <x:c r="X253" s="16" t="s">
        <x:v>28</x:v>
      </x:c>
      <x:c r="Y253" s="16" t="s">
        <x:v>28</x:v>
      </x:c>
      <x:c r="Z253" s="19" t="s">
        <x:v>544</x:v>
      </x:c>
      <x:c r="AA253" s="60" t="str">
        <x:v>Snapshot only — run GitHub workflow</x:v>
      </x:c>
      <x:c r="AB253" s="61" t="n">
        <x:f>IFERROR(H253/G253,"")</x:f>
        <x:v>1</x:v>
      </x:c>
      <x:c r="AC253" s="60" t="str"/>
      <x:c r="AD253" s="60" t="str"/>
      <x:c r="AE253" s="60" t="str"/>
      <x:c r="AF253" s="60" t="str"/>
    </x:row>
    <x:row r="254" ht="15.75" customHeight="1">
      <x:c r="A254" s="12" t="s">
        <x:v>545</x:v>
      </x:c>
      <x:c r="B254" s="12" t="s">
        <x:v>546</x:v>
      </x:c>
      <x:c r="C254" s="13" t="e">
        <x:f>HYPERLINK("https://scan.mypinata.cloud/ipfs/bafybeih3olry3is4e4lzm7rus5l3h6zrphcal5a7ayfkhzm5oivjro2cp4/#/address/0x7aBac9EbedAa90976ad112F1E57DDa2e73b80B8a", "0x7aBac9EbedAa90976ad112F1E57DDa2e73b80B8a")</x:f>
      </x:c>
      <x:c r="D254" s="14" t="e">
        <x:f>HYPERLINK("https://scan.mypinata.cloud/ipfs/bafybeih3olry3is4e4lzm7rus5l3h6zrphcal5a7ayfkhzm5oivjro2cp4/#/address/0x903030f7e2d6489F38B0f4F96F9b371ec7960F78", "Atropa Dev Alt")</x:f>
      </x:c>
      <x:c r="E254" s="14" t="e">
        <x:f>HYPERLINK("https://scan.mypinata.cloud/ipfs/bafybeih3olry3is4e4lzm7rus5l3h6zrphcal5a7ayfkhzm5oivjro2cp4/#/block/21372766", "21372766")</x:f>
      </x:c>
      <x:c r="F254" s="14" t="e">
        <x:f>HYPERLINK("https://scan.mypinata.cloud/ipfs/bafybeih3olry3is4e4lzm7rus5l3h6zrphcal5a7ayfkhzm5oivjro2cp4/#/tx/0x30d1de58a949e41e77d7d56c34990caa975ff810e7912a991c78171500ec09a9", "2024-09-09 23:21:55")</x:f>
      </x:c>
      <x:c r="G254" s="15">
        <x:v>0.0</x:v>
      </x:c>
      <x:c r="H254" s="15">
        <x:v>6.122160875683571</x:v>
      </x:c>
      <x:c r="I254" s="15">
        <x:v>-1.703625697177966</x:v>
      </x:c>
      <x:c r="J254" s="15">
        <x:v>-1.703625697177966</x:v>
      </x:c>
      <x:c r="K254" s="15">
        <x:v>2.3158417847463237</x:v>
      </x:c>
      <x:c r="L254" s="14" t="e">
        <x:f>HYPERLINK("https://scan.mypinata.cloud/ipfs/bafybeih3olry3is4e4lzm7rus5l3h6zrphcal5a7ayfkhzm5oivjro2cp4/#/tx/0x9f5908042e3439cc4c13841b4ef8e1bacb5e80dd306f5311f41ae79f8ade02d7", "2024-12-15 20:35:05")</x:f>
      </x:c>
      <x:c r="M254" s="14" t="e">
        <x:f>HYPERLINK("https://scan.mypinata.cloud/ipfs/bafybeih3olry3is4e4lzm7rus5l3h6zrphcal5a7ayfkhzm5oivjro2cp4/#/tx/0xc916af6d7fd49933614bf5e47aaaec91e7a4cfabe1caa8a15c175aa147574868", "2024-09-09 23:37:55")</x:f>
      </x:c>
      <x:c r="N254" s="16" t="e">
        <x:f>IFERROR(__xludf.DUMMYFUNCTION("IF(ISDATE(TO_DATE(L254)), MAX(0, ROUND(TODAY() - TO_DATE(L254)), 0), ""-"")"),564.0)</x:f>
      </x:c>
      <x:c r="O254" s="16" t="e">
        <x:f>IFERROR(__xludf.DUMMYFUNCTION("IF(ISDATE(TO_DATE(M254)), MAX(0, ROUND(TODAY() - TO_DATE(M254)), 0), ""-"")"),661.0)</x:f>
      </x:c>
      <x:c r="P254" s="16" t="s">
        <x:v>28</x:v>
      </x:c>
      <x:c r="Q254" s="16" t="s">
        <x:v>28</x:v>
      </x:c>
      <x:c r="R254" s="16" t="s">
        <x:v>28</x:v>
      </x:c>
      <x:c r="S254" s="16" t="s">
        <x:v>28</x:v>
      </x:c>
      <x:c r="T254" s="16" t="s">
        <x:v>28</x:v>
      </x:c>
      <x:c r="U254" s="16" t="s">
        <x:v>28</x:v>
      </x:c>
      <x:c r="V254" s="16" t="s">
        <x:v>28</x:v>
      </x:c>
      <x:c r="W254" s="16" t="s">
        <x:v>28</x:v>
      </x:c>
      <x:c r="X254" s="16" t="s">
        <x:v>28</x:v>
      </x:c>
      <x:c r="Y254" s="16" t="s">
        <x:v>28</x:v>
      </x:c>
      <x:c r="Z254" s="19" t="s">
        <x:v>547</x:v>
      </x:c>
      <x:c r="AA254" s="60" t="str">
        <x:v>Snapshot only — run GitHub workflow</x:v>
      </x:c>
      <x:c r="AB254" s="61" t="str">
        <x:f>IFERROR(H254/G254,"")</x:f>
      </x:c>
      <x:c r="AC254" s="60" t="str"/>
      <x:c r="AD254" s="60" t="str"/>
      <x:c r="AE254" s="60" t="str"/>
      <x:c r="AF254" s="60" t="str"/>
    </x:row>
    <x:row r="255" ht="15.75" customHeight="1">
      <x:c r="A255" s="2" t="s">
        <x:v>548</x:v>
      </x:c>
      <x:c r="B255" s="2" t="s">
        <x:v>549</x:v>
      </x:c>
      <x:c r="C255" s="3" t="e">
        <x:f>HYPERLINK("https://scan.mypinata.cloud/ipfs/bafybeih3olry3is4e4lzm7rus5l3h6zrphcal5a7ayfkhzm5oivjro2cp4/#/address/0xf646eD2Fc7873C7c412Bffb07E2e8038f8EB7895", "0xf646eD2Fc7873C7c412Bffb07E2e8038f8EB7895")</x:f>
      </x:c>
      <x:c r="D255" s="4" t="e">
        <x:f t="shared" ref="D255:D262" si="16">HYPERLINK("https://scan.mypinata.cloud/ipfs/bafybeih3olry3is4e4lzm7rus5l3h6zrphcal5a7ayfkhzm5oivjro2cp4/#/address/0x7a20189B297343CF26d8548764b04891f37F3414", "Atropa Dev")</x:f>
      </x:c>
      <x:c r="E255" s="4" t="e">
        <x:f>HYPERLINK("https://scan.mypinata.cloud/ipfs/bafybeih3olry3is4e4lzm7rus5l3h6zrphcal5a7ayfkhzm5oivjro2cp4/#/block/21396373", "21396373")</x:f>
      </x:c>
      <x:c r="F255" s="4" t="e">
        <x:f>HYPERLINK("https://scan.mypinata.cloud/ipfs/bafybeih3olry3is4e4lzm7rus5l3h6zrphcal5a7ayfkhzm5oivjro2cp4/#/tx/0x6e9fac9b9ba50287efedc35f542b403e4fcfd50197f919fd7c404115bf524bf8", "2024-09-12 19:04:45")</x:f>
      </x:c>
      <x:c r="G255" s="5">
        <x:v>5554.0</x:v>
      </x:c>
      <x:c r="H255" s="5">
        <x:v>5554.0</x:v>
      </x:c>
      <x:c r="I255" s="5">
        <x:v>5554.0</x:v>
      </x:c>
      <x:c r="J255" s="5">
        <x:v>0.0</x:v>
      </x:c>
      <x:c r="K255" s="5">
        <x:v>0.0</x:v>
      </x:c>
      <x:c r="L255" s="2" t="s">
        <x:v>28</x:v>
      </x:c>
      <x:c r="M255" s="2" t="s">
        <x:v>28</x:v>
      </x:c>
      <x:c r="N255" s="2" t="e">
        <x:f>IFERROR(__xludf.DUMMYFUNCTION("IF(ISDATE(TO_DATE(L255)), MAX(0, ROUND(TODAY() - TO_DATE(L255)), 0), ""-"")"),"-")</x:f>
      </x:c>
      <x:c r="O255" s="2" t="e">
        <x:f>IFERROR(__xludf.DUMMYFUNCTION("IF(ISDATE(TO_DATE(M255)), MAX(0, ROUND(TODAY() - TO_DATE(M255)), 0), ""-"")"),"-")</x:f>
      </x:c>
      <x:c r="P255" s="6">
        <x:v>50.6</x:v>
      </x:c>
      <x:c r="Q255" s="6">
        <x:v>1260338.2983</x:v>
      </x:c>
      <x:c r="R255" s="7">
        <x:v>281032.4</x:v>
      </x:c>
      <x:c r="S255" s="7">
        <x:v>281076.0</x:v>
      </x:c>
      <x:c r="T255" s="7">
        <x:v>7995.88</x:v>
      </x:c>
      <x:c r="U255" s="7">
        <x:v>105049.29000000001</x:v>
      </x:c>
      <x:c r="V255" s="8" t="n">
        <x:f t="array" ref="V255">1.97%</x:f>
        <x:v>0.0197</x:v>
      </x:c>
      <x:c r="W255" s="8" t="n">
        <x:f t="array" ref="W255">0.11%</x:f>
        <x:v>0.0011</x:v>
      </x:c>
      <x:c r="X255" s="8" t="n">
        <x:f t="array" ref="X255">-0.22%</x:f>
        <x:v>-0.0022</x:v>
      </x:c>
      <x:c r="Y255" s="8" t="n">
        <x:f t="array" ref="Y255">-2.13%</x:f>
        <x:v>-0.0213</x:v>
      </x:c>
      <x:c r="Z255" s="9" t="s">
        <x:v>536</x:v>
      </x:c>
      <x:c r="AA255" s="60" t="str">
        <x:v>Snapshot only — run GitHub workflow</x:v>
      </x:c>
      <x:c r="AB255" s="61" t="n">
        <x:f>IFERROR(H255/G255,"")</x:f>
        <x:v>1</x:v>
      </x:c>
      <x:c r="AC255" s="60" t="str"/>
      <x:c r="AD255" s="60" t="str"/>
      <x:c r="AE255" s="60" t="str"/>
      <x:c r="AF255" s="60" t="str"/>
    </x:row>
    <x:row r="256" ht="15.75" customHeight="1">
      <x:c r="A256" s="12" t="s">
        <x:v>550</x:v>
      </x:c>
      <x:c r="B256" s="12" t="s">
        <x:v>551</x:v>
      </x:c>
      <x:c r="C256" s="13" t="e">
        <x:f>HYPERLINK("https://scan.mypinata.cloud/ipfs/bafybeih3olry3is4e4lzm7rus5l3h6zrphcal5a7ayfkhzm5oivjro2cp4/#/address/0x7A3e33CE772ef28438Bcb4F564Dc300289cC63F4", "0x7A3e33CE772ef28438Bcb4F564Dc300289cC63F4")</x:f>
      </x:c>
      <x:c r="D256" s="14" t="str">
        <x:f t="shared" si="16"/>
        <x:v>Atropa Dev</x:v>
      </x:c>
      <x:c r="E256" s="14" t="e">
        <x:f>HYPERLINK("https://scan.mypinata.cloud/ipfs/bafybeih3olry3is4e4lzm7rus5l3h6zrphcal5a7ayfkhzm5oivjro2cp4/#/block/21499369", "21499369")</x:f>
      </x:c>
      <x:c r="F256" s="14" t="e">
        <x:f>HYPERLINK("https://scan.mypinata.cloud/ipfs/bafybeih3olry3is4e4lzm7rus5l3h6zrphcal5a7ayfkhzm5oivjro2cp4/#/tx/0xd2db7e7f0644ebe70765566e8be8e41c6ef39a13f2caf572d2e22e4cbede6111", "2024-09-25 00:15:45")</x:f>
      </x:c>
      <x:c r="G256" s="15">
        <x:v>666.0</x:v>
      </x:c>
      <x:c r="H256" s="15">
        <x:v>666.0</x:v>
      </x:c>
      <x:c r="I256" s="15">
        <x:v>665.9821784680154</x:v>
      </x:c>
      <x:c r="J256" s="15">
        <x:v>0.0</x:v>
      </x:c>
      <x:c r="K256" s="15">
        <x:v>0.0178215319846055</x:v>
      </x:c>
      <x:c r="L256" s="16" t="s">
        <x:v>28</x:v>
      </x:c>
      <x:c r="M256" s="14" t="e">
        <x:f>HYPERLINK("https://scan.mypinata.cloud/ipfs/bafybeih3olry3is4e4lzm7rus5l3h6zrphcal5a7ayfkhzm5oivjro2cp4/#/tx/0x6a82f880bf4ddc4755ee35cadc786cbdc98bbe038df7d2ed555bf42714f41ec6", "2025-02-09 23:35:05")</x:f>
      </x:c>
      <x:c r="N256" s="16" t="e">
        <x:f>IFERROR(__xludf.DUMMYFUNCTION("IF(ISDATE(TO_DATE(L256)), MAX(0, ROUND(TODAY() - TO_DATE(L256)), 0), ""-"")"),"-")</x:f>
      </x:c>
      <x:c r="O256" s="16" t="e">
        <x:f>IFERROR(__xludf.DUMMYFUNCTION("IF(ISDATE(TO_DATE(M256)), MAX(0, ROUND(TODAY() - TO_DATE(M256)), 0), ""-"")"),508.0)</x:f>
      </x:c>
      <x:c r="P256" s="17">
        <x:v>2.43</x:v>
      </x:c>
      <x:c r="Q256" s="17">
        <x:v>63654.2061</x:v>
      </x:c>
      <x:c r="R256" s="18">
        <x:v>1618.38</x:v>
      </x:c>
      <x:c r="S256" s="18">
        <x:v>1622.0</x:v>
      </x:c>
      <x:c r="T256" s="18">
        <x:v>9.25</x:v>
      </x:c>
      <x:c r="U256" s="18">
        <x:v>122.69</x:v>
      </x:c>
      <x:c r="V256" s="16" t="s">
        <x:v>28</x:v>
      </x:c>
      <x:c r="W256" s="16" t="s">
        <x:v>28</x:v>
      </x:c>
      <x:c r="X256" s="16" t="s">
        <x:v>28</x:v>
      </x:c>
      <x:c r="Y256" s="16" t="s">
        <x:v>28</x:v>
      </x:c>
      <x:c r="Z256" s="19" t="s">
        <x:v>552</x:v>
      </x:c>
      <x:c r="AA256" s="60" t="str">
        <x:v>Snapshot only — run GitHub workflow</x:v>
      </x:c>
      <x:c r="AB256" s="61" t="n">
        <x:f>IFERROR(H256/G256,"")</x:f>
        <x:v>1</x:v>
      </x:c>
      <x:c r="AC256" s="60" t="str"/>
      <x:c r="AD256" s="60" t="str"/>
      <x:c r="AE256" s="60" t="str"/>
      <x:c r="AF256" s="60" t="str"/>
    </x:row>
    <x:row r="257" ht="15.75" customHeight="1">
      <x:c r="A257" s="12" t="s">
        <x:v>553</x:v>
      </x:c>
      <x:c r="B257" s="12" t="s">
        <x:v>554</x:v>
      </x:c>
      <x:c r="C257" s="13" t="e">
        <x:f>HYPERLINK("https://scan.mypinata.cloud/ipfs/bafybeih3olry3is4e4lzm7rus5l3h6zrphcal5a7ayfkhzm5oivjro2cp4/#/address/0x96EB28A11a1169CaeBfBBB1885dC1613ddB5f93d", "0x96EB28A11a1169CaeBfBBB1885dC1613ddB5f93d")</x:f>
      </x:c>
      <x:c r="D257" s="14" t="str">
        <x:f t="shared" si="16"/>
        <x:v>Atropa Dev</x:v>
      </x:c>
      <x:c r="E257" s="14" t="e">
        <x:f>HYPERLINK("https://scan.mypinata.cloud/ipfs/bafybeih3olry3is4e4lzm7rus5l3h6zrphcal5a7ayfkhzm5oivjro2cp4/#/block/21709299", "21709299")</x:f>
      </x:c>
      <x:c r="F257" s="14" t="e">
        <x:f>HYPERLINK("https://scan.mypinata.cloud/ipfs/bafybeih3olry3is4e4lzm7rus5l3h6zrphcal5a7ayfkhzm5oivjro2cp4/#/tx/0xbf37f5496c4238e786928ac53595d47d10926e321aa1ad3bcd64621a2aa1bcbb", "2024-10-19 18:59:55")</x:f>
      </x:c>
      <x:c r="G257" s="15">
        <x:v>121212.0</x:v>
      </x:c>
      <x:c r="H257" s="15">
        <x:v>121212.0</x:v>
      </x:c>
      <x:c r="I257" s="15">
        <x:v>121212.0</x:v>
      </x:c>
      <x:c r="J257" s="15">
        <x:v>0.0</x:v>
      </x:c>
      <x:c r="K257" s="15">
        <x:v>0.0</x:v>
      </x:c>
      <x:c r="L257" s="16" t="s">
        <x:v>28</x:v>
      </x:c>
      <x:c r="M257" s="16" t="s">
        <x:v>28</x:v>
      </x:c>
      <x:c r="N257" s="16" t="e">
        <x:f>IFERROR(__xludf.DUMMYFUNCTION("IF(ISDATE(TO_DATE(L257)), MAX(0, ROUND(TODAY() - TO_DATE(L257)), 0), ""-"")"),"-")</x:f>
      </x:c>
      <x:c r="O257" s="16" t="e">
        <x:f>IFERROR(__xludf.DUMMYFUNCTION("IF(ISDATE(TO_DATE(M257)), MAX(0, ROUND(TODAY() - TO_DATE(M257)), 0), ""-"")"),"-")</x:f>
      </x:c>
      <x:c r="P257" s="16" t="s">
        <x:v>28</x:v>
      </x:c>
      <x:c r="Q257" s="16" t="s">
        <x:v>28</x:v>
      </x:c>
      <x:c r="R257" s="16" t="s">
        <x:v>28</x:v>
      </x:c>
      <x:c r="S257" s="16" t="s">
        <x:v>28</x:v>
      </x:c>
      <x:c r="T257" s="18">
        <x:v>1021.26</x:v>
      </x:c>
      <x:c r="U257" s="18">
        <x:v>187208.38</x:v>
      </x:c>
      <x:c r="V257" s="16" t="s">
        <x:v>28</x:v>
      </x:c>
      <x:c r="W257" s="16" t="s">
        <x:v>28</x:v>
      </x:c>
      <x:c r="X257" s="16" t="s">
        <x:v>28</x:v>
      </x:c>
      <x:c r="Y257" s="16" t="s">
        <x:v>28</x:v>
      </x:c>
      <x:c r="Z257" s="19" t="s">
        <x:v>555</x:v>
      </x:c>
      <x:c r="AA257" s="60" t="str">
        <x:v>Snapshot only — run GitHub workflow</x:v>
      </x:c>
      <x:c r="AB257" s="61" t="n">
        <x:f>IFERROR(H257/G257,"")</x:f>
        <x:v>1</x:v>
      </x:c>
      <x:c r="AC257" s="60" t="str"/>
      <x:c r="AD257" s="60" t="str"/>
      <x:c r="AE257" s="60" t="str"/>
      <x:c r="AF257" s="60" t="str"/>
    </x:row>
    <x:row r="258" ht="15.75" customHeight="1">
      <x:c r="A258" s="2" t="s">
        <x:v>556</x:v>
      </x:c>
      <x:c r="B258" s="11" t="s">
        <x:v>557</x:v>
      </x:c>
      <x:c r="C258" s="3" t="e">
        <x:f>HYPERLINK("https://scan.mypinata.cloud/ipfs/bafybeih3olry3is4e4lzm7rus5l3h6zrphcal5a7ayfkhzm5oivjro2cp4/#/address/0xE9ce7430eC463B9CD9dDdb9543f6fD3100708875", "0xE9ce7430eC463B9CD9dDdb9543f6fD3100708875")</x:f>
      </x:c>
      <x:c r="D258" s="4" t="str">
        <x:f t="shared" si="16"/>
        <x:v>Atropa Dev</x:v>
      </x:c>
      <x:c r="E258" s="4" t="e">
        <x:f>HYPERLINK("https://scan.mypinata.cloud/ipfs/bafybeih3olry3is4e4lzm7rus5l3h6zrphcal5a7ayfkhzm5oivjro2cp4/#/block/21725371", "21725371")</x:f>
      </x:c>
      <x:c r="F258" s="4" t="e">
        <x:f>HYPERLINK("https://scan.mypinata.cloud/ipfs/bafybeih3olry3is4e4lzm7rus5l3h6zrphcal5a7ayfkhzm5oivjro2cp4/#/tx/0x4a41460b0a4fe6864e6caf76e1877bf4fc78cfbe931d3533834cd2f5a7cfd40c", "2024-10-21 16:10:05")</x:f>
      </x:c>
      <x:c r="G258" s="5">
        <x:v>121212.0</x:v>
      </x:c>
      <x:c r="H258" s="5">
        <x:v>121212.0</x:v>
      </x:c>
      <x:c r="I258" s="5">
        <x:v>121212.0</x:v>
      </x:c>
      <x:c r="J258" s="5">
        <x:v>0.0</x:v>
      </x:c>
      <x:c r="K258" s="5">
        <x:v>0.0</x:v>
      </x:c>
      <x:c r="L258" s="2" t="s">
        <x:v>28</x:v>
      </x:c>
      <x:c r="M258" s="2" t="s">
        <x:v>28</x:v>
      </x:c>
      <x:c r="N258" s="2" t="e">
        <x:f>IFERROR(__xludf.DUMMYFUNCTION("IF(ISDATE(TO_DATE(L258)), MAX(0, ROUND(TODAY() - TO_DATE(L258)), 0), ""-"")"),"-")</x:f>
      </x:c>
      <x:c r="O258" s="2" t="e">
        <x:f>IFERROR(__xludf.DUMMYFUNCTION("IF(ISDATE(TO_DATE(M258)), MAX(0, ROUND(TODAY() - TO_DATE(M258)), 0), ""-"")"),"-")</x:f>
      </x:c>
      <x:c r="P258" s="6">
        <x:v>0.2198</x:v>
      </x:c>
      <x:c r="Q258" s="6">
        <x:v>5537.3552</x:v>
      </x:c>
      <x:c r="R258" s="7">
        <x:v>26642.3976</x:v>
      </x:c>
      <x:c r="S258" s="7">
        <x:v>26644.0</x:v>
      </x:c>
      <x:c r="T258" s="7">
        <x:v>35.65</x:v>
      </x:c>
      <x:c r="U258" s="7">
        <x:v>1710.0</x:v>
      </x:c>
      <x:c r="V258" s="2" t="s">
        <x:v>28</x:v>
      </x:c>
      <x:c r="W258" s="2" t="s">
        <x:v>28</x:v>
      </x:c>
      <x:c r="X258" s="2" t="s">
        <x:v>28</x:v>
      </x:c>
      <x:c r="Y258" s="2" t="s">
        <x:v>28</x:v>
      </x:c>
      <x:c r="Z258" s="9" t="s">
        <x:v>555</x:v>
      </x:c>
      <x:c r="AA258" s="60" t="str">
        <x:v>Snapshot only — run GitHub workflow</x:v>
      </x:c>
      <x:c r="AB258" s="61" t="n">
        <x:f>IFERROR(H258/G258,"")</x:f>
        <x:v>1</x:v>
      </x:c>
      <x:c r="AC258" s="60" t="str"/>
      <x:c r="AD258" s="60" t="str"/>
      <x:c r="AE258" s="60" t="str"/>
      <x:c r="AF258" s="60" t="str"/>
    </x:row>
    <x:row r="259" ht="15.75" customHeight="1">
      <x:c r="A259" s="2" t="s">
        <x:v>558</x:v>
      </x:c>
      <x:c r="B259" s="2" t="s">
        <x:v>559</x:v>
      </x:c>
      <x:c r="C259" s="3" t="e">
        <x:f>HYPERLINK("https://scan.mypinata.cloud/ipfs/bafybeih3olry3is4e4lzm7rus5l3h6zrphcal5a7ayfkhzm5oivjro2cp4/#/address/0x261BABfCB9FC4F37eF331b81E7930704955C5E11", "0x261BABfCB9FC4F37eF331b81E7930704955C5E11")</x:f>
      </x:c>
      <x:c r="D259" s="4" t="str">
        <x:f t="shared" si="16"/>
        <x:v>Atropa Dev</x:v>
      </x:c>
      <x:c r="E259" s="4" t="e">
        <x:f>HYPERLINK("https://scan.mypinata.cloud/ipfs/bafybeih3olry3is4e4lzm7rus5l3h6zrphcal5a7ayfkhzm5oivjro2cp4/#/block/21768193", "21768193")</x:f>
      </x:c>
      <x:c r="F259" s="4" t="e">
        <x:f>HYPERLINK("https://scan.mypinata.cloud/ipfs/bafybeih3olry3is4e4lzm7rus5l3h6zrphcal5a7ayfkhzm5oivjro2cp4/#/tx/0xdfd9327a2c365f0037a7946aae6886f8337f8560b7f0c367c2ce12aa65d5edda", "2024-10-26 16:12:15")</x:f>
      </x:c>
      <x:c r="G259" s="5">
        <x:v>121212.0</x:v>
      </x:c>
      <x:c r="H259" s="5">
        <x:v>100069.0</x:v>
      </x:c>
      <x:c r="I259" s="5">
        <x:v>100069.0</x:v>
      </x:c>
      <x:c r="J259" s="5">
        <x:v>0.0</x:v>
      </x:c>
      <x:c r="K259" s="5">
        <x:v>21143.0</x:v>
      </x:c>
      <x:c r="L259" s="2" t="s">
        <x:v>28</x:v>
      </x:c>
      <x:c r="M259" s="4" t="e">
        <x:f>HYPERLINK("https://scan.mypinata.cloud/ipfs/bafybeih3olry3is4e4lzm7rus5l3h6zrphcal5a7ayfkhzm5oivjro2cp4/#/tx/0x829fe481991614f396edbd7e36aae434423feded17c2d68f807a297ed6135a98", "2024-11-20 20:48:55")</x:f>
      </x:c>
      <x:c r="N259" s="2" t="e">
        <x:f>IFERROR(__xludf.DUMMYFUNCTION("IF(ISDATE(TO_DATE(L259)), MAX(0, ROUND(TODAY() - TO_DATE(L259)), 0), ""-"")"),"-")</x:f>
      </x:c>
      <x:c r="O259" s="2" t="e">
        <x:f>IFERROR(__xludf.DUMMYFUNCTION("IF(ISDATE(TO_DATE(M259)), MAX(0, ROUND(TODAY() - TO_DATE(M259)), 0), ""-"")"),589.0)</x:f>
      </x:c>
      <x:c r="P259" s="6">
        <x:v>0.0563</x:v>
      </x:c>
      <x:c r="Q259" s="6">
        <x:v>1430.06088</x:v>
      </x:c>
      <x:c r="R259" s="7">
        <x:v>5633.8847</x:v>
      </x:c>
      <x:c r="S259" s="7">
        <x:v>5634.0</x:v>
      </x:c>
      <x:c r="T259" s="7">
        <x:v>10.55</x:v>
      </x:c>
      <x:c r="U259" s="7">
        <x:v>730.94</x:v>
      </x:c>
      <x:c r="V259" s="2" t="s">
        <x:v>28</x:v>
      </x:c>
      <x:c r="W259" s="2" t="s">
        <x:v>28</x:v>
      </x:c>
      <x:c r="X259" s="2" t="s">
        <x:v>28</x:v>
      </x:c>
      <x:c r="Y259" s="2" t="s">
        <x:v>28</x:v>
      </x:c>
      <x:c r="Z259" s="9" t="s">
        <x:v>560</x:v>
      </x:c>
      <x:c r="AA259" s="60" t="str">
        <x:v>Snapshot only — run GitHub workflow</x:v>
      </x:c>
      <x:c r="AB259" s="61" t="n">
        <x:f>IFERROR(H259/G259,"")</x:f>
        <x:v>0.8255700755700756</x:v>
      </x:c>
      <x:c r="AC259" s="60" t="str"/>
      <x:c r="AD259" s="60" t="str"/>
      <x:c r="AE259" s="60" t="str"/>
      <x:c r="AF259" s="60" t="str"/>
    </x:row>
    <x:row r="260" ht="15.75" customHeight="1">
      <x:c r="A260" s="2" t="s">
        <x:v>561</x:v>
      </x:c>
      <x:c r="B260" s="2" t="s">
        <x:v>562</x:v>
      </x:c>
      <x:c r="C260" s="3" t="e">
        <x:f>HYPERLINK("https://scan.mypinata.cloud/ipfs/bafybeih3olry3is4e4lzm7rus5l3h6zrphcal5a7ayfkhzm5oivjro2cp4/#/address/0x9DC72e4AD4d11841993F6c0a087F5B9fb458aA7C", "0x9DC72e4AD4d11841993F6c0a087F5B9fb458aA7C")</x:f>
      </x:c>
      <x:c r="D260" s="4" t="str">
        <x:f t="shared" si="16"/>
        <x:v>Atropa Dev</x:v>
      </x:c>
      <x:c r="E260" s="4" t="e">
        <x:f>HYPERLINK("https://scan.mypinata.cloud/ipfs/bafybeih3olry3is4e4lzm7rus5l3h6zrphcal5a7ayfkhzm5oivjro2cp4/#/block/21889456", "21889456")</x:f>
      </x:c>
      <x:c r="F260" s="4" t="e">
        <x:f>HYPERLINK("https://scan.mypinata.cloud/ipfs/bafybeih3olry3is4e4lzm7rus5l3h6zrphcal5a7ayfkhzm5oivjro2cp4/#/tx/0x8020c7f28c2c67855811f2df095b2a2df3781a9584a9f8e161bb766f5fd7d1f5", "2024-11-09 20:18:05")</x:f>
      </x:c>
      <x:c r="G260" s="5">
        <x:v>121212.0</x:v>
      </x:c>
      <x:c r="H260" s="5">
        <x:v>121212.0</x:v>
      </x:c>
      <x:c r="I260" s="5">
        <x:v>121211.99969871204</x:v>
      </x:c>
      <x:c r="J260" s="5">
        <x:v>0.0</x:v>
      </x:c>
      <x:c r="K260" s="5">
        <x:v>3.012879543807E-4</x:v>
      </x:c>
      <x:c r="L260" s="2" t="s">
        <x:v>28</x:v>
      </x:c>
      <x:c r="M260" s="4" t="e">
        <x:f>HYPERLINK("https://scan.mypinata.cloud/ipfs/bafybeih3olry3is4e4lzm7rus5l3h6zrphcal5a7ayfkhzm5oivjro2cp4/#/tx/0x0ecd9002f64a87974950fca05a99c35be34d9d0f4bac2b5ac61ba93a6b1a563c", "2025-01-03 15:01:35")</x:f>
      </x:c>
      <x:c r="N260" s="2" t="e">
        <x:f>IFERROR(__xludf.DUMMYFUNCTION("IF(ISDATE(TO_DATE(L260)), MAX(0, ROUND(TODAY() - TO_DATE(L260)), 0), ""-"")"),"-")</x:f>
      </x:c>
      <x:c r="O260" s="2" t="e">
        <x:f>IFERROR(__xludf.DUMMYFUNCTION("IF(ISDATE(TO_DATE(M260)), MAX(0, ROUND(TODAY() - TO_DATE(M260)), 0), ""-"")"),545.0)</x:f>
      </x:c>
      <x:c r="P260" s="6">
        <x:v>18.32</x:v>
      </x:c>
      <x:c r="Q260" s="6">
        <x:v>460926.9076</x:v>
      </x:c>
      <x:c r="R260" s="7">
        <x:v>2220603.84</x:v>
      </x:c>
      <x:c r="S260" s="7">
        <x:v>2221069.0</x:v>
      </x:c>
      <x:c r="T260" s="7">
        <x:v>88320.73</x:v>
      </x:c>
      <x:c r="U260" s="7">
        <x:v>155106.65</x:v>
      </x:c>
      <x:c r="V260" s="8" t="n">
        <x:f t="array" ref="V260">1.02%</x:f>
        <x:v>0.0102</x:v>
      </x:c>
      <x:c r="W260" s="8" t="n">
        <x:f t="array" ref="W260">1.05%</x:f>
        <x:v>0.0105</x:v>
      </x:c>
      <x:c r="X260" s="8" t="n">
        <x:f t="array" ref="X260">-5.37%</x:f>
        <x:v>-0.0537</x:v>
      </x:c>
      <x:c r="Y260" s="8" t="n">
        <x:f t="array" ref="Y260">-4.49%</x:f>
        <x:v>-0.0449</x:v>
      </x:c>
      <x:c r="Z260" s="9" t="s">
        <x:v>563</x:v>
      </x:c>
      <x:c r="AA260" s="60" t="str">
        <x:v>Snapshot only — run GitHub workflow</x:v>
      </x:c>
      <x:c r="AB260" s="61" t="n">
        <x:f>IFERROR(H260/G260,"")</x:f>
        <x:v>1</x:v>
      </x:c>
      <x:c r="AC260" s="60" t="str"/>
      <x:c r="AD260" s="60" t="str"/>
      <x:c r="AE260" s="60" t="str"/>
      <x:c r="AF260" s="60" t="str"/>
    </x:row>
    <x:row r="261" ht="15.75" customHeight="1">
      <x:c r="A261" s="12" t="s">
        <x:v>564</x:v>
      </x:c>
      <x:c r="B261" s="12" t="s">
        <x:v>565</x:v>
      </x:c>
      <x:c r="C261" s="13" t="e">
        <x:f>HYPERLINK("https://scan.mypinata.cloud/ipfs/bafybeih3olry3is4e4lzm7rus5l3h6zrphcal5a7ayfkhzm5oivjro2cp4/#/address/0xd2A048eF4e018348EEbC245a4402DB7b46c8E223", "0xd2A048eF4e018348EEbC245a4402DB7b46c8E223")</x:f>
      </x:c>
      <x:c r="D261" s="14" t="str">
        <x:f t="shared" si="16"/>
        <x:v>Atropa Dev</x:v>
      </x:c>
      <x:c r="E261" s="14" t="e">
        <x:f>HYPERLINK("https://scan.mypinata.cloud/ipfs/bafybeih3olry3is4e4lzm7rus5l3h6zrphcal5a7ayfkhzm5oivjro2cp4/#/block/21940876", "21940876")</x:f>
      </x:c>
      <x:c r="F261" s="14" t="e">
        <x:f>HYPERLINK("https://scan.mypinata.cloud/ipfs/bafybeih3olry3is4e4lzm7rus5l3h6zrphcal5a7ayfkhzm5oivjro2cp4/#/tx/0xf916ff77a5a49972e9e14edf0098dbb5d76b3e4bfd543d1fa0d725a571427193", "2024-11-15 20:59:35")</x:f>
      </x:c>
      <x:c r="G261" s="15">
        <x:v>999.0</x:v>
      </x:c>
      <x:c r="H261" s="15">
        <x:v>999.0</x:v>
      </x:c>
      <x:c r="I261" s="15">
        <x:v>999.0</x:v>
      </x:c>
      <x:c r="J261" s="15">
        <x:v>0.0</x:v>
      </x:c>
      <x:c r="K261" s="15">
        <x:v>0.0</x:v>
      </x:c>
      <x:c r="L261" s="16" t="s">
        <x:v>28</x:v>
      </x:c>
      <x:c r="M261" s="16" t="s">
        <x:v>28</x:v>
      </x:c>
      <x:c r="N261" s="16" t="e">
        <x:f>IFERROR(__xludf.DUMMYFUNCTION("IF(ISDATE(TO_DATE(L261)), MAX(0, ROUND(TODAY() - TO_DATE(L261)), 0), ""-"")"),"-")</x:f>
      </x:c>
      <x:c r="O261" s="16" t="e">
        <x:f>IFERROR(__xludf.DUMMYFUNCTION("IF(ISDATE(TO_DATE(M261)), MAX(0, ROUND(TODAY() - TO_DATE(M261)), 0), ""-"")"),"-")</x:f>
      </x:c>
      <x:c r="P261" s="17">
        <x:v>153.027</x:v>
      </x:c>
      <x:c r="Q261" s="17">
        <x:v>3851791.6525</x:v>
      </x:c>
      <x:c r="R261" s="18">
        <x:v>152873.973</x:v>
      </x:c>
      <x:c r="S261" s="18">
        <x:v>152875.0</x:v>
      </x:c>
      <x:c r="T261" s="18">
        <x:v>300.33</x:v>
      </x:c>
      <x:c r="U261" s="18">
        <x:v>12292.509999999998</x:v>
      </x:c>
      <x:c r="V261" s="16" t="s">
        <x:v>28</x:v>
      </x:c>
      <x:c r="W261" s="16" t="s">
        <x:v>28</x:v>
      </x:c>
      <x:c r="X261" s="16" t="s">
        <x:v>28</x:v>
      </x:c>
      <x:c r="Y261" s="16" t="s">
        <x:v>28</x:v>
      </x:c>
      <x:c r="Z261" s="19" t="s">
        <x:v>563</x:v>
      </x:c>
      <x:c r="AA261" s="60" t="str">
        <x:v>Snapshot only — run GitHub workflow</x:v>
      </x:c>
      <x:c r="AB261" s="61" t="n">
        <x:f>IFERROR(H261/G261,"")</x:f>
        <x:v>1</x:v>
      </x:c>
      <x:c r="AC261" s="60" t="str"/>
      <x:c r="AD261" s="60" t="str"/>
      <x:c r="AE261" s="60" t="str"/>
      <x:c r="AF261" s="60" t="str"/>
    </x:row>
    <x:row r="262" ht="15.75" customHeight="1">
      <x:c r="A262" s="2" t="s">
        <x:v>566</x:v>
      </x:c>
      <x:c r="B262" s="2" t="s">
        <x:v>567</x:v>
      </x:c>
      <x:c r="C262" s="3" t="e">
        <x:f>HYPERLINK("https://scan.mypinata.cloud/ipfs/bafybeih3olry3is4e4lzm7rus5l3h6zrphcal5a7ayfkhzm5oivjro2cp4/#/address/0x5A49433D997DE8af3e83d8c59d0a196680174d98", "0x5A49433D997DE8af3e83d8c59d0a196680174d98")</x:f>
      </x:c>
      <x:c r="D262" s="4" t="str">
        <x:f t="shared" si="16"/>
        <x:v>Atropa Dev</x:v>
      </x:c>
      <x:c r="E262" s="4" t="e">
        <x:f>HYPERLINK("https://scan.mypinata.cloud/ipfs/bafybeih3olry3is4e4lzm7rus5l3h6zrphcal5a7ayfkhzm5oivjro2cp4/#/block/21973527", "21973527")</x:f>
      </x:c>
      <x:c r="F262" s="4" t="e">
        <x:f>HYPERLINK("https://scan.mypinata.cloud/ipfs/bafybeih3olry3is4e4lzm7rus5l3h6zrphcal5a7ayfkhzm5oivjro2cp4/#/tx/0x6d8a57b35aa999cc888ea2c6d1c5b58a3f1c668122699bef8058b8393fed74a8", "2024-11-19 17:06:25")</x:f>
      </x:c>
      <x:c r="G262" s="5">
        <x:v>5.0</x:v>
      </x:c>
      <x:c r="H262" s="5">
        <x:v>5.0</x:v>
      </x:c>
      <x:c r="I262" s="5">
        <x:v>4.999999999999989</x:v>
      </x:c>
      <x:c r="J262" s="5">
        <x:v>0.0</x:v>
      </x:c>
      <x:c r="K262" s="10" t="s">
        <x:v>568</x:v>
      </x:c>
      <x:c r="L262" s="2" t="s">
        <x:v>28</x:v>
      </x:c>
      <x:c r="M262" s="4" t="e">
        <x:f>HYPERLINK("https://scan.mypinata.cloud/ipfs/bafybeih3olry3is4e4lzm7rus5l3h6zrphcal5a7ayfkhzm5oivjro2cp4/#/tx/0xab2a0023ed917e3420df3b541defd605b0303feb8ab510efff8af0aa74d67676", "2024-12-27 20:40:35")</x:f>
      </x:c>
      <x:c r="N262" s="2" t="e">
        <x:f>IFERROR(__xludf.DUMMYFUNCTION("IF(ISDATE(TO_DATE(L262)), MAX(0, ROUND(TODAY() - TO_DATE(L262)), 0), ""-"")"),"-")</x:f>
      </x:c>
      <x:c r="O262" s="2" t="e">
        <x:f>IFERROR(__xludf.DUMMYFUNCTION("IF(ISDATE(TO_DATE(M262)), MAX(0, ROUND(TODAY() - TO_DATE(M262)), 0), ""-"")"),552.0)</x:f>
      </x:c>
      <x:c r="P262" s="6">
        <x:v>5275.52</x:v>
      </x:c>
      <x:c r="Q262" s="6">
        <x:v>1.303758667582E8</x:v>
      </x:c>
      <x:c r="R262" s="7">
        <x:v>26377.6</x:v>
      </x:c>
      <x:c r="S262" s="7">
        <x:v>26378.0</x:v>
      </x:c>
      <x:c r="T262" s="7">
        <x:v>39.61</x:v>
      </x:c>
      <x:c r="U262" s="7">
        <x:v>2570.01</x:v>
      </x:c>
      <x:c r="V262" s="2" t="s">
        <x:v>28</x:v>
      </x:c>
      <x:c r="W262" s="2" t="s">
        <x:v>28</x:v>
      </x:c>
      <x:c r="X262" s="2" t="s">
        <x:v>28</x:v>
      </x:c>
      <x:c r="Y262" s="2" t="s">
        <x:v>28</x:v>
      </x:c>
      <x:c r="Z262" s="9" t="s">
        <x:v>569</x:v>
      </x:c>
      <x:c r="AA262" s="60" t="str">
        <x:v>Snapshot only — run GitHub workflow</x:v>
      </x:c>
      <x:c r="AB262" s="61" t="n">
        <x:f>IFERROR(H262/G262,"")</x:f>
        <x:v>1</x:v>
      </x:c>
      <x:c r="AC262" s="60" t="str"/>
      <x:c r="AD262" s="60" t="str"/>
      <x:c r="AE262" s="60" t="str"/>
      <x:c r="AF262" s="60" t="str"/>
    </x:row>
    <x:row r="263" ht="15.75" customHeight="1">
      <x:c r="A263" s="2" t="s">
        <x:v>570</x:v>
      </x:c>
      <x:c r="B263" s="2" t="s">
        <x:v>571</x:v>
      </x:c>
      <x:c r="C263" s="3" t="e">
        <x:f>HYPERLINK("https://scan.mypinata.cloud/ipfs/bafybeih3olry3is4e4lzm7rus5l3h6zrphcal5a7ayfkhzm5oivjro2cp4/#/address/0x4Ec5F865F6996Ac424A1740ef97b8D1C862e0988", "0x4Ec5F865F6996Ac424A1740ef97b8D1C862e0988")</x:f>
      </x:c>
      <x:c r="D263" s="4" t="e">
        <x:f t="shared" ref="D263:D293" si="17">HYPERLINK("https://scan.mypinata.cloud/ipfs/bafybeih3olry3is4e4lzm7rus5l3h6zrphcal5a7ayfkhzm5oivjro2cp4/#/address/0xBF182955401aF3f2f7e244cb31184E93E74a2501", "Atropa Dev Multiverse")</x:f>
      </x:c>
      <x:c r="E263" s="4" t="e">
        <x:f>HYPERLINK("https://scan.mypinata.cloud/ipfs/bafybeih3olry3is4e4lzm7rus5l3h6zrphcal5a7ayfkhzm5oivjro2cp4/#/block/22045327", "22045327")</x:f>
      </x:c>
      <x:c r="F263" s="4" t="e">
        <x:f>HYPERLINK("https://scan.mypinata.cloud/ipfs/bafybeih3olry3is4e4lzm7rus5l3h6zrphcal5a7ayfkhzm5oivjro2cp4/#/tx/0x2a9f60d6e209d448e8b8e048f4c48bb796d775cd57230470bad35dc5802ffa50", "2024-11-28 02:22:55")</x:f>
      </x:c>
      <x:c r="G263" s="5">
        <x:v>35.0478183341884</x:v>
      </x:c>
      <x:c r="H263" s="5">
        <x:v>1549.2294692719693</x:v>
      </x:c>
      <x:c r="I263" s="5">
        <x:v>1549.2294692719693</x:v>
      </x:c>
      <x:c r="J263" s="5">
        <x:v>1514.181650937781</x:v>
      </x:c>
      <x:c r="K263" s="5">
        <x:v>0.0</x:v>
      </x:c>
      <x:c r="L263" s="4" t="e">
        <x:f>HYPERLINK("https://scan.mypinata.cloud/ipfs/bafybeih3olry3is4e4lzm7rus5l3h6zrphcal5a7ayfkhzm5oivjro2cp4/#/tx/0x29f4f952831c8651295e388be2a73082d59a1af3ef9f6389b585cf99011ba3c9", "2025-02-14 16:48:25")</x:f>
      </x:c>
      <x:c r="M263" s="2" t="s">
        <x:v>28</x:v>
      </x:c>
      <x:c r="N263" s="2" t="e">
        <x:f>IFERROR(__xludf.DUMMYFUNCTION("IF(ISDATE(TO_DATE(L263)), MAX(0, ROUND(TODAY() - TO_DATE(L263)), 0), ""-"")"),503.0)</x:f>
      </x:c>
      <x:c r="O263" s="2" t="e">
        <x:f>IFERROR(__xludf.DUMMYFUNCTION("IF(ISDATE(TO_DATE(M263)), MAX(0, ROUND(TODAY() - TO_DATE(M263)), 0), ""-"")"),"-")</x:f>
      </x:c>
      <x:c r="P263" s="6">
        <x:v>21.53</x:v>
      </x:c>
      <x:c r="Q263" s="6">
        <x:v>541164.5141</x:v>
      </x:c>
      <x:c r="R263" s="7">
        <x:v>33354.9104734255</x:v>
      </x:c>
      <x:c r="S263" s="7">
        <x:v>33364.0</x:v>
      </x:c>
      <x:c r="T263" s="7">
        <x:v>316.90000000000003</x:v>
      </x:c>
      <x:c r="U263" s="7">
        <x:v>5677.96</x:v>
      </x:c>
      <x:c r="V263" s="2" t="s">
        <x:v>28</x:v>
      </x:c>
      <x:c r="W263" s="2" t="s">
        <x:v>28</x:v>
      </x:c>
      <x:c r="X263" s="2" t="s">
        <x:v>28</x:v>
      </x:c>
      <x:c r="Y263" s="2" t="s">
        <x:v>28</x:v>
      </x:c>
      <x:c r="Z263" s="9" t="s">
        <x:v>572</x:v>
      </x:c>
      <x:c r="AA263" s="60" t="str">
        <x:v>Snapshot only — run GitHub workflow</x:v>
      </x:c>
      <x:c r="AB263" s="61" t="n">
        <x:f>IFERROR(H263/G263,"")</x:f>
        <x:v>44.20330687918252</x:v>
      </x:c>
      <x:c r="AC263" s="60" t="str"/>
      <x:c r="AD263" s="60" t="str"/>
      <x:c r="AE263" s="60" t="str"/>
      <x:c r="AF263" s="60" t="str"/>
    </x:row>
    <x:row r="264" ht="15.75" customHeight="1">
      <x:c r="A264" s="2" t="s">
        <x:v>573</x:v>
      </x:c>
      <x:c r="B264" s="2" t="s">
        <x:v>574</x:v>
      </x:c>
      <x:c r="C264" s="3" t="e">
        <x:f>HYPERLINK("https://scan.mypinata.cloud/ipfs/bafybeih3olry3is4e4lzm7rus5l3h6zrphcal5a7ayfkhzm5oivjro2cp4/#/address/0x67C13559F2eB56d8f8C088C4303d0c46583B4237", "0x67C13559F2eB56d8f8C088C4303d0c46583B4237")</x:f>
      </x:c>
      <x:c r="D264" s="4" t="str">
        <x:f t="shared" si="17"/>
        <x:v>Atropa Dev Multiverse</x:v>
      </x:c>
      <x:c r="E264" s="4" t="e">
        <x:f>HYPERLINK("https://scan.mypinata.cloud/ipfs/bafybeih3olry3is4e4lzm7rus5l3h6zrphcal5a7ayfkhzm5oivjro2cp4/#/block/22051703", "22051703")</x:f>
      </x:c>
      <x:c r="F264" s="4" t="e">
        <x:f>HYPERLINK("https://scan.mypinata.cloud/ipfs/bafybeih3olry3is4e4lzm7rus5l3h6zrphcal5a7ayfkhzm5oivjro2cp4/#/tx/0x2240c0e79f9e31e61aa5f0f6a88f70e42c7e0982667e3769d452530af3b6f097", "2024-11-28 20:16:35")</x:f>
      </x:c>
      <x:c r="G264" s="5">
        <x:v>156.58953530919018</x:v>
      </x:c>
      <x:c r="H264" s="5">
        <x:v>1.5799936154973853E9</x:v>
      </x:c>
      <x:c r="I264" s="5">
        <x:v>1.5622953975213385E9</x:v>
      </x:c>
      <x:c r="J264" s="5">
        <x:v>1.562295240931803E9</x:v>
      </x:c>
      <x:c r="K264" s="10" t="s">
        <x:v>575</x:v>
      </x:c>
      <x:c r="L264" s="4" t="e">
        <x:f>HYPERLINK("https://scan.mypinata.cloud/ipfs/bafybeih3olry3is4e4lzm7rus5l3h6zrphcal5a7ayfkhzm5oivjro2cp4/#/tx/0xa3d267c5a07141f8356eff4efaf9b55f96391269bde98eb30f162d3dd0f8612d", "2025-02-27 04:55:35")</x:f>
      </x:c>
      <x:c r="M264" s="4" t="e">
        <x:f>HYPERLINK("https://scan.mypinata.cloud/ipfs/bafybeih3olry3is4e4lzm7rus5l3h6zrphcal5a7ayfkhzm5oivjro2cp4/#/tx/0x8256e5591d25c03c0fd388c28d83b1a3e0787936fd7e0f4b9ce1bab54df1f9b1", "2024-11-28 21:09:05")</x:f>
      </x:c>
      <x:c r="N264" s="2" t="e">
        <x:f>IFERROR(__xludf.DUMMYFUNCTION("IF(ISDATE(TO_DATE(L264)), MAX(0, ROUND(TODAY() - TO_DATE(L264)), 0), ""-"")"),491.0)</x:f>
      </x:c>
      <x:c r="O264" s="2" t="e">
        <x:f>IFERROR(__xludf.DUMMYFUNCTION("IF(ISDATE(TO_DATE(M264)), MAX(0, ROUND(TODAY() - TO_DATE(M264)), 0), ""-"")"),581.0)</x:f>
      </x:c>
      <x:c r="P264" s="2" t="s">
        <x:v>28</x:v>
      </x:c>
      <x:c r="Q264" s="2" t="s">
        <x:v>28</x:v>
      </x:c>
      <x:c r="R264" s="2" t="s">
        <x:v>28</x:v>
      </x:c>
      <x:c r="S264" s="2" t="s">
        <x:v>28</x:v>
      </x:c>
      <x:c r="T264" s="2" t="s">
        <x:v>28</x:v>
      </x:c>
      <x:c r="U264" s="2" t="s">
        <x:v>28</x:v>
      </x:c>
      <x:c r="V264" s="2" t="s">
        <x:v>28</x:v>
      </x:c>
      <x:c r="W264" s="2" t="s">
        <x:v>28</x:v>
      </x:c>
      <x:c r="X264" s="2" t="s">
        <x:v>28</x:v>
      </x:c>
      <x:c r="Y264" s="2" t="s">
        <x:v>28</x:v>
      </x:c>
      <x:c r="Z264" s="9" t="s">
        <x:v>572</x:v>
      </x:c>
      <x:c r="AA264" s="60" t="str">
        <x:v>Snapshot only — run GitHub workflow</x:v>
      </x:c>
      <x:c r="AB264" s="61" t="n">
        <x:f>IFERROR(H264/G264,"")</x:f>
        <x:v>10090033.234836837</x:v>
      </x:c>
      <x:c r="AC264" s="60" t="str"/>
      <x:c r="AD264" s="60" t="str"/>
      <x:c r="AE264" s="60" t="str"/>
      <x:c r="AF264" s="60" t="str"/>
    </x:row>
    <x:row r="265" ht="15.75" customHeight="1">
      <x:c r="A265" s="12" t="s">
        <x:v>576</x:v>
      </x:c>
      <x:c r="B265" s="12" t="s">
        <x:v>574</x:v>
      </x:c>
      <x:c r="C265" s="13" t="e">
        <x:f>HYPERLINK("https://scan.mypinata.cloud/ipfs/bafybeih3olry3is4e4lzm7rus5l3h6zrphcal5a7ayfkhzm5oivjro2cp4/#/address/0x40E6d331E168815Ff1a546A3B0cCE71272e9F4Cd", "0x40E6d331E168815Ff1a546A3B0cCE71272e9F4Cd")</x:f>
      </x:c>
      <x:c r="D265" s="14" t="str">
        <x:f t="shared" si="17"/>
        <x:v>Atropa Dev Multiverse</x:v>
      </x:c>
      <x:c r="E265" s="14" t="e">
        <x:f>HYPERLINK("https://scan.mypinata.cloud/ipfs/bafybeih3olry3is4e4lzm7rus5l3h6zrphcal5a7ayfkhzm5oivjro2cp4/#/block/22058941", "22058941")</x:f>
      </x:c>
      <x:c r="F265" s="14" t="e">
        <x:f>HYPERLINK("https://scan.mypinata.cloud/ipfs/bafybeih3olry3is4e4lzm7rus5l3h6zrphcal5a7ayfkhzm5oivjro2cp4/#/tx/0x5b80f4ec8c34c9152c04bc6da814c0d8cc9447083d062ff9628af1ee9db79e41", "2024-11-29 16:34:55")</x:f>
      </x:c>
      <x:c r="G265" s="15">
        <x:v>61.62439715880399</x:v>
      </x:c>
      <x:c r="H265" s="15">
        <x:v>8.310273209114401E8</x:v>
      </x:c>
      <x:c r="I265" s="15">
        <x:v>8.245626819530485E8</x:v>
      </x:c>
      <x:c r="J265" s="15">
        <x:v>8.245626203286513E8</x:v>
      </x:c>
      <x:c r="K265" s="15">
        <x:v>0.0</x:v>
      </x:c>
      <x:c r="L265" s="14" t="e">
        <x:f>HYPERLINK("https://scan.mypinata.cloud/ipfs/bafybeih3olry3is4e4lzm7rus5l3h6zrphcal5a7ayfkhzm5oivjro2cp4/#/tx/0x10bc1263ee94915ba2ab3f36660f5e0012e11fe963499db73e42e936aa36a326", "2025-02-27 11:44:15")</x:f>
      </x:c>
      <x:c r="M265" s="16" t="s">
        <x:v>28</x:v>
      </x:c>
      <x:c r="N265" s="16" t="e">
        <x:f>IFERROR(__xludf.DUMMYFUNCTION("IF(ISDATE(TO_DATE(L265)), MAX(0, ROUND(TODAY() - TO_DATE(L265)), 0), ""-"")"),491.0)</x:f>
      </x:c>
      <x:c r="O265" s="16" t="e">
        <x:f>IFERROR(__xludf.DUMMYFUNCTION("IF(ISDATE(TO_DATE(M265)), MAX(0, ROUND(TODAY() - TO_DATE(M265)), 0), ""-"")"),"-")</x:f>
      </x:c>
      <x:c r="P265" s="17">
        <x:v>1.664E-6</x:v>
      </x:c>
      <x:c r="Q265" s="17">
        <x:v>0.04223</x:v>
      </x:c>
      <x:c r="R265" s="18">
        <x:v>1381.4979882684581</x:v>
      </x:c>
      <x:c r="S265" s="18">
        <x:v>1382.0</x:v>
      </x:c>
      <x:c r="T265" s="18">
        <x:v>4.54</x:v>
      </x:c>
      <x:c r="U265" s="18">
        <x:v>208.94</x:v>
      </x:c>
      <x:c r="V265" s="16" t="s">
        <x:v>28</x:v>
      </x:c>
      <x:c r="W265" s="16" t="s">
        <x:v>28</x:v>
      </x:c>
      <x:c r="X265" s="16" t="s">
        <x:v>28</x:v>
      </x:c>
      <x:c r="Y265" s="16" t="s">
        <x:v>28</x:v>
      </x:c>
      <x:c r="Z265" s="19" t="s">
        <x:v>572</x:v>
      </x:c>
      <x:c r="AA265" s="60" t="str">
        <x:v>Snapshot only — run GitHub workflow</x:v>
      </x:c>
      <x:c r="AB265" s="61" t="n">
        <x:f>IFERROR(H265/G265,"")</x:f>
        <x:v>13485362.278999839</x:v>
      </x:c>
      <x:c r="AC265" s="60" t="str"/>
      <x:c r="AD265" s="60" t="str"/>
      <x:c r="AE265" s="60" t="str"/>
      <x:c r="AF265" s="60" t="str"/>
    </x:row>
    <x:row r="266" ht="15.75" customHeight="1">
      <x:c r="A266" s="12" t="s">
        <x:v>577</x:v>
      </x:c>
      <x:c r="B266" s="12" t="s">
        <x:v>578</x:v>
      </x:c>
      <x:c r="C266" s="13" t="e">
        <x:f>HYPERLINK("https://scan.mypinata.cloud/ipfs/bafybeih3olry3is4e4lzm7rus5l3h6zrphcal5a7ayfkhzm5oivjro2cp4/#/address/0x1c86019cC2C591e7539b26D04351f4A97A7759F9", "0x1c86019cC2C591e7539b26D04351f4A97A7759F9")</x:f>
      </x:c>
      <x:c r="D266" s="14" t="str">
        <x:f t="shared" si="17"/>
        <x:v>Atropa Dev Multiverse</x:v>
      </x:c>
      <x:c r="E266" s="14" t="e">
        <x:f>HYPERLINK("https://scan.mypinata.cloud/ipfs/bafybeih3olry3is4e4lzm7rus5l3h6zrphcal5a7ayfkhzm5oivjro2cp4/#/block/22075528", "22075528")</x:f>
      </x:c>
      <x:c r="F266" s="14" t="e">
        <x:f>HYPERLINK("https://scan.mypinata.cloud/ipfs/bafybeih3olry3is4e4lzm7rus5l3h6zrphcal5a7ayfkhzm5oivjro2cp4/#/tx/0x73945cc3d6b89e03dd0ceba1df0e2a3b87387733f5772cdd39ea7f26e6c173fd", "2024-12-01 15:54:55")</x:f>
      </x:c>
      <x:c r="G266" s="15">
        <x:v>66.6089430069821</x:v>
      </x:c>
      <x:c r="H266" s="15">
        <x:v>1.5089954296241196E7</x:v>
      </x:c>
      <x:c r="I266" s="15">
        <x:v>1.5089954294323081E7</x:v>
      </x:c>
      <x:c r="J266" s="15">
        <x:v>1.5089889685380075E7</x:v>
      </x:c>
      <x:c r="K266" s="15">
        <x:v>2.0</x:v>
      </x:c>
      <x:c r="L266" s="14" t="e">
        <x:f>HYPERLINK("https://scan.mypinata.cloud/ipfs/bafybeih3olry3is4e4lzm7rus5l3h6zrphcal5a7ayfkhzm5oivjro2cp4/#/tx/0x3d7cb2aa1da984a9392880398affc70b3741227c28e90e6b366b939ae663dc6d", "2025-02-27 05:03:55")</x:f>
      </x:c>
      <x:c r="M266" s="14" t="e">
        <x:f>HYPERLINK("https://scan.mypinata.cloud/ipfs/bafybeih3olry3is4e4lzm7rus5l3h6zrphcal5a7ayfkhzm5oivjro2cp4/#/tx/0xd998dcda1ec3220e69720a74721ca61b719a680c798e765abb897e443d293d76", "2024-12-01 16:57:45")</x:f>
      </x:c>
      <x:c r="N266" s="16" t="e">
        <x:f>IFERROR(__xludf.DUMMYFUNCTION("IF(ISDATE(TO_DATE(L266)), MAX(0, ROUND(TODAY() - TO_DATE(L266)), 0), ""-"")"),491.0)</x:f>
      </x:c>
      <x:c r="O266" s="16" t="e">
        <x:f>IFERROR(__xludf.DUMMYFUNCTION("IF(ISDATE(TO_DATE(M266)), MAX(0, ROUND(TODAY() - TO_DATE(M266)), 0), ""-"")"),578.0)</x:f>
      </x:c>
      <x:c r="P266" s="16" t="s">
        <x:v>28</x:v>
      </x:c>
      <x:c r="Q266" s="16" t="s">
        <x:v>28</x:v>
      </x:c>
      <x:c r="R266" s="16" t="s">
        <x:v>28</x:v>
      </x:c>
      <x:c r="S266" s="16" t="s">
        <x:v>28</x:v>
      </x:c>
      <x:c r="T266" s="16" t="s">
        <x:v>28</x:v>
      </x:c>
      <x:c r="U266" s="16" t="s">
        <x:v>28</x:v>
      </x:c>
      <x:c r="V266" s="16" t="s">
        <x:v>28</x:v>
      </x:c>
      <x:c r="W266" s="16" t="s">
        <x:v>28</x:v>
      </x:c>
      <x:c r="X266" s="16" t="s">
        <x:v>28</x:v>
      </x:c>
      <x:c r="Y266" s="16" t="s">
        <x:v>28</x:v>
      </x:c>
      <x:c r="Z266" s="19" t="s">
        <x:v>579</x:v>
      </x:c>
      <x:c r="AA266" s="60" t="str">
        <x:v>Snapshot only — run GitHub workflow</x:v>
      </x:c>
      <x:c r="AB266" s="61" t="n">
        <x:f>IFERROR(H266/G266,"")</x:f>
        <x:v>226545.46994777312</x:v>
      </x:c>
      <x:c r="AC266" s="60" t="str"/>
      <x:c r="AD266" s="60" t="str"/>
      <x:c r="AE266" s="60" t="str"/>
      <x:c r="AF266" s="60" t="str"/>
    </x:row>
    <x:row r="267" ht="15.75" customHeight="1">
      <x:c r="A267" s="2" t="s">
        <x:v>580</x:v>
      </x:c>
      <x:c r="B267" s="2" t="s">
        <x:v>581</x:v>
      </x:c>
      <x:c r="C267" s="3" t="e">
        <x:f>HYPERLINK("https://scan.mypinata.cloud/ipfs/bafybeih3olry3is4e4lzm7rus5l3h6zrphcal5a7ayfkhzm5oivjro2cp4/#/address/0xe48205F93ae55D822f49D33dF06b5B26e9D5245D", "0xe48205F93ae55D822f49D33dF06b5B26e9D5245D")</x:f>
      </x:c>
      <x:c r="D267" s="4" t="str">
        <x:f t="shared" si="17"/>
        <x:v>Atropa Dev Multiverse</x:v>
      </x:c>
      <x:c r="E267" s="4" t="e">
        <x:f>HYPERLINK("https://scan.mypinata.cloud/ipfs/bafybeih3olry3is4e4lzm7rus5l3h6zrphcal5a7ayfkhzm5oivjro2cp4/#/block/22084804", "22084804")</x:f>
      </x:c>
      <x:c r="F267" s="4" t="e">
        <x:f>HYPERLINK("https://scan.mypinata.cloud/ipfs/bafybeih3olry3is4e4lzm7rus5l3h6zrphcal5a7ayfkhzm5oivjro2cp4/#/tx/0x028d77467c264a54c895bcfdcf85bdc31ca57f4403dcc59b420cc38e5f475bb3", "2024-12-02 19:05:55")</x:f>
      </x:c>
      <x:c r="G267" s="5">
        <x:v>0.7352003807659568</x:v>
      </x:c>
      <x:c r="H267" s="5">
        <x:v>3771.7684979684955</x:v>
      </x:c>
      <x:c r="I267" s="5">
        <x:v>3771.768356612591</x:v>
      </x:c>
      <x:c r="J267" s="5">
        <x:v>3771.033156231825</x:v>
      </x:c>
      <x:c r="K267" s="5">
        <x:v>0.0</x:v>
      </x:c>
      <x:c r="L267" s="4" t="e">
        <x:f>HYPERLINK("https://scan.mypinata.cloud/ipfs/bafybeih3olry3is4e4lzm7rus5l3h6zrphcal5a7ayfkhzm5oivjro2cp4/#/tx/0x552a349b058b43df7ecb9b812c0b7eacb7ce1f67a181450eb0340d9c25ac45be", "2025-02-14 07:03:45")</x:f>
      </x:c>
      <x:c r="M267" s="2" t="s">
        <x:v>28</x:v>
      </x:c>
      <x:c r="N267" s="2" t="e">
        <x:f>IFERROR(__xludf.DUMMYFUNCTION("IF(ISDATE(TO_DATE(L267)), MAX(0, ROUND(TODAY() - TO_DATE(L267)), 0), ""-"")"),504.0)</x:f>
      </x:c>
      <x:c r="O267" s="2" t="e">
        <x:f>IFERROR(__xludf.DUMMYFUNCTION("IF(ISDATE(TO_DATE(M267)), MAX(0, ROUND(TODAY() - TO_DATE(M267)), 0), ""-"")"),"-")</x:f>
      </x:c>
      <x:c r="P267" s="2" t="s">
        <x:v>28</x:v>
      </x:c>
      <x:c r="Q267" s="2" t="s">
        <x:v>28</x:v>
      </x:c>
      <x:c r="R267" s="2" t="s">
        <x:v>28</x:v>
      </x:c>
      <x:c r="S267" s="2" t="s">
        <x:v>28</x:v>
      </x:c>
      <x:c r="T267" s="2" t="s">
        <x:v>28</x:v>
      </x:c>
      <x:c r="U267" s="2" t="s">
        <x:v>28</x:v>
      </x:c>
      <x:c r="V267" s="2" t="s">
        <x:v>28</x:v>
      </x:c>
      <x:c r="W267" s="2" t="s">
        <x:v>28</x:v>
      </x:c>
      <x:c r="X267" s="2" t="s">
        <x:v>28</x:v>
      </x:c>
      <x:c r="Y267" s="2" t="s">
        <x:v>28</x:v>
      </x:c>
      <x:c r="Z267" s="9" t="s">
        <x:v>582</x:v>
      </x:c>
      <x:c r="AA267" s="60" t="str">
        <x:v>Snapshot only — run GitHub workflow</x:v>
      </x:c>
      <x:c r="AB267" s="61" t="n">
        <x:f>IFERROR(H267/G267,"")</x:f>
        <x:v>5130.259173749255</x:v>
      </x:c>
      <x:c r="AC267" s="60" t="str"/>
      <x:c r="AD267" s="60" t="str"/>
      <x:c r="AE267" s="60" t="str"/>
      <x:c r="AF267" s="60" t="str"/>
    </x:row>
    <x:row r="268" ht="15.75" customHeight="1">
      <x:c r="A268" s="2" t="s">
        <x:v>583</x:v>
      </x:c>
      <x:c r="B268" s="2" t="s">
        <x:v>584</x:v>
      </x:c>
      <x:c r="C268" s="3" t="e">
        <x:f>HYPERLINK("https://scan.mypinata.cloud/ipfs/bafybeih3olry3is4e4lzm7rus5l3h6zrphcal5a7ayfkhzm5oivjro2cp4/#/address/0xC38943d71233F1d36beAc4692aC37Bad41EF9284", "0xC38943d71233F1d36beAc4692aC37Bad41EF9284")</x:f>
      </x:c>
      <x:c r="D268" s="4" t="str">
        <x:f t="shared" si="17"/>
        <x:v>Atropa Dev Multiverse</x:v>
      </x:c>
      <x:c r="E268" s="4" t="e">
        <x:f>HYPERLINK("https://scan.mypinata.cloud/ipfs/bafybeih3olry3is4e4lzm7rus5l3h6zrphcal5a7ayfkhzm5oivjro2cp4/#/block/22084806", "22084806")</x:f>
      </x:c>
      <x:c r="F268" s="4" t="e">
        <x:f>HYPERLINK("https://scan.mypinata.cloud/ipfs/bafybeih3olry3is4e4lzm7rus5l3h6zrphcal5a7ayfkhzm5oivjro2cp4/#/tx/0x27169497148f8537535bdd6c51c8d1c7d39c19849c23b01fd49cce703a6ca10b", "2024-12-02 19:06:15")</x:f>
      </x:c>
      <x:c r="G268" s="5">
        <x:v>0.6885492509224245</x:v>
      </x:c>
      <x:c r="H268" s="5">
        <x:v>7226.862400722117</x:v>
      </x:c>
      <x:c r="I268" s="5">
        <x:v>7226.862219471812</x:v>
      </x:c>
      <x:c r="J268" s="5">
        <x:v>7226.173670220889</x:v>
      </x:c>
      <x:c r="K268" s="5">
        <x:v>0.0</x:v>
      </x:c>
      <x:c r="L268" s="4" t="e">
        <x:f>HYPERLINK("https://scan.mypinata.cloud/ipfs/bafybeih3olry3is4e4lzm7rus5l3h6zrphcal5a7ayfkhzm5oivjro2cp4/#/tx/0x0aed51ac4dee7bdd049bfd1f1ff0e4b5da6102e76a8e3a2f60650b138cfe8421", "2025-02-23 03:11:25")</x:f>
      </x:c>
      <x:c r="M268" s="2" t="s">
        <x:v>28</x:v>
      </x:c>
      <x:c r="N268" s="2" t="e">
        <x:f>IFERROR(__xludf.DUMMYFUNCTION("IF(ISDATE(TO_DATE(L268)), MAX(0, ROUND(TODAY() - TO_DATE(L268)), 0), ""-"")"),495.0)</x:f>
      </x:c>
      <x:c r="O268" s="2" t="e">
        <x:f>IFERROR(__xludf.DUMMYFUNCTION("IF(ISDATE(TO_DATE(M268)), MAX(0, ROUND(TODAY() - TO_DATE(M268)), 0), ""-"")"),"-")</x:f>
      </x:c>
      <x:c r="P268" s="2" t="s">
        <x:v>28</x:v>
      </x:c>
      <x:c r="Q268" s="2" t="s">
        <x:v>28</x:v>
      </x:c>
      <x:c r="R268" s="2" t="s">
        <x:v>28</x:v>
      </x:c>
      <x:c r="S268" s="2" t="s">
        <x:v>28</x:v>
      </x:c>
      <x:c r="T268" s="2" t="s">
        <x:v>28</x:v>
      </x:c>
      <x:c r="U268" s="2" t="s">
        <x:v>28</x:v>
      </x:c>
      <x:c r="V268" s="2" t="s">
        <x:v>28</x:v>
      </x:c>
      <x:c r="W268" s="2" t="s">
        <x:v>28</x:v>
      </x:c>
      <x:c r="X268" s="2" t="s">
        <x:v>28</x:v>
      </x:c>
      <x:c r="Y268" s="2" t="s">
        <x:v>28</x:v>
      </x:c>
      <x:c r="Z268" s="9" t="s">
        <x:v>582</x:v>
      </x:c>
      <x:c r="AA268" s="60" t="str">
        <x:v>Snapshot only — run GitHub workflow</x:v>
      </x:c>
      <x:c r="AB268" s="61" t="n">
        <x:f>IFERROR(H268/G268,"")</x:f>
        <x:v>10495.781370817776</x:v>
      </x:c>
      <x:c r="AC268" s="60" t="str"/>
      <x:c r="AD268" s="60" t="str"/>
      <x:c r="AE268" s="60" t="str"/>
      <x:c r="AF268" s="60" t="str"/>
    </x:row>
    <x:row r="269" ht="15.75" customHeight="1">
      <x:c r="A269" s="2" t="s">
        <x:v>585</x:v>
      </x:c>
      <x:c r="B269" s="2" t="s">
        <x:v>586</x:v>
      </x:c>
      <x:c r="C269" s="3" t="e">
        <x:f>HYPERLINK("https://scan.mypinata.cloud/ipfs/bafybeih3olry3is4e4lzm7rus5l3h6zrphcal5a7ayfkhzm5oivjro2cp4/#/address/0xbeF60dB7a8e370364D6D610cB1cdA91e76f7FbBC", "0xbeF60dB7a8e370364D6D610cB1cdA91e76f7FbBC")</x:f>
      </x:c>
      <x:c r="D269" s="4" t="str">
        <x:f t="shared" si="17"/>
        <x:v>Atropa Dev Multiverse</x:v>
      </x:c>
      <x:c r="E269" s="4" t="e">
        <x:f>HYPERLINK("https://scan.mypinata.cloud/ipfs/bafybeih3olry3is4e4lzm7rus5l3h6zrphcal5a7ayfkhzm5oivjro2cp4/#/block/22092765", "22092765")</x:f>
      </x:c>
      <x:c r="F269" s="4" t="e">
        <x:f>HYPERLINK("https://scan.mypinata.cloud/ipfs/bafybeih3olry3is4e4lzm7rus5l3h6zrphcal5a7ayfkhzm5oivjro2cp4/#/tx/0xa88faeb84449a2646d3e896d9584ecf4766785bea65644e3523ebf85caf641b8", "2024-12-03 17:35:55")</x:f>
      </x:c>
      <x:c r="G269" s="5">
        <x:v>0.5820843679877096</x:v>
      </x:c>
      <x:c r="H269" s="5">
        <x:v>1752.6325972341465</x:v>
      </x:c>
      <x:c r="I269" s="5">
        <x:v>1744.8410198472207</x:v>
      </x:c>
      <x:c r="J269" s="5">
        <x:v>1767.2589354792328</x:v>
      </x:c>
      <x:c r="K269" s="5">
        <x:v>23.0</x:v>
      </x:c>
      <x:c r="L269" s="4" t="e">
        <x:f>HYPERLINK("https://scan.mypinata.cloud/ipfs/bafybeih3olry3is4e4lzm7rus5l3h6zrphcal5a7ayfkhzm5oivjro2cp4/#/tx/0x47c91c027693d9fb9de1eecbc0fac61465159b59527496d3d97412dfa73871b9", "2025-02-27 11:46:15")</x:f>
      </x:c>
      <x:c r="M269" s="4" t="e">
        <x:f>HYPERLINK("https://scan.mypinata.cloud/ipfs/bafybeih3olry3is4e4lzm7rus5l3h6zrphcal5a7ayfkhzm5oivjro2cp4/#/tx/0x690c9bd3450d01780661e748985be2100424d2ca4bd4beb60e40a81d0929a261", "2025-02-17 09:06:45")</x:f>
      </x:c>
      <x:c r="N269" s="2" t="e">
        <x:f>IFERROR(__xludf.DUMMYFUNCTION("IF(ISDATE(TO_DATE(L269)), MAX(0, ROUND(TODAY() - TO_DATE(L269)), 0), ""-"")"),491.0)</x:f>
      </x:c>
      <x:c r="O269" s="2" t="e">
        <x:f>IFERROR(__xludf.DUMMYFUNCTION("IF(ISDATE(TO_DATE(M269)), MAX(0, ROUND(TODAY() - TO_DATE(M269)), 0), ""-"")"),501.0)</x:f>
      </x:c>
      <x:c r="P269" s="6">
        <x:v>0.8428</x:v>
      </x:c>
      <x:c r="Q269" s="6">
        <x:v>20769.2348</x:v>
      </x:c>
      <x:c r="R269" s="7">
        <x:v>1477.1186866928847</x:v>
      </x:c>
      <x:c r="S269" s="7">
        <x:v>1477.0</x:v>
      </x:c>
      <x:c r="T269" s="7">
        <x:v>0.96</x:v>
      </x:c>
      <x:c r="U269" s="7">
        <x:v>15.77</x:v>
      </x:c>
      <x:c r="V269" s="2" t="s">
        <x:v>28</x:v>
      </x:c>
      <x:c r="W269" s="2" t="s">
        <x:v>28</x:v>
      </x:c>
      <x:c r="X269" s="2" t="s">
        <x:v>28</x:v>
      </x:c>
      <x:c r="Y269" s="2" t="s">
        <x:v>28</x:v>
      </x:c>
      <x:c r="Z269" s="9" t="s">
        <x:v>587</x:v>
      </x:c>
      <x:c r="AA269" s="60" t="str">
        <x:v>Snapshot only — run GitHub workflow</x:v>
      </x:c>
      <x:c r="AB269" s="61" t="n">
        <x:f>IFERROR(H269/G269,"")</x:f>
        <x:v>3010.9597398965925</x:v>
      </x:c>
      <x:c r="AC269" s="60" t="str"/>
      <x:c r="AD269" s="60" t="str"/>
      <x:c r="AE269" s="60" t="str"/>
      <x:c r="AF269" s="60" t="str"/>
    </x:row>
    <x:row r="270" ht="15.75" customHeight="1">
      <x:c r="A270" s="11" t="s">
        <x:v>588</x:v>
      </x:c>
      <x:c r="B270" s="2" t="s">
        <x:v>589</x:v>
      </x:c>
      <x:c r="C270" s="3" t="e">
        <x:f>HYPERLINK("https://scan.mypinata.cloud/ipfs/bafybeih3olry3is4e4lzm7rus5l3h6zrphcal5a7ayfkhzm5oivjro2cp4/#/address/0xdDB009B0cAcfdDc032761F7B5BF525D543F7C002", "0xdDB009B0cAcfdDc032761F7B5BF525D543F7C002")</x:f>
      </x:c>
      <x:c r="D270" s="4" t="str">
        <x:f t="shared" si="17"/>
        <x:v>Atropa Dev Multiverse</x:v>
      </x:c>
      <x:c r="E270" s="4" t="e">
        <x:f>HYPERLINK("https://scan.mypinata.cloud/ipfs/bafybeih3olry3is4e4lzm7rus5l3h6zrphcal5a7ayfkhzm5oivjro2cp4/#/block/22101207", "22101207")</x:f>
      </x:c>
      <x:c r="F270" s="4" t="e">
        <x:f>HYPERLINK("https://scan.mypinata.cloud/ipfs/bafybeih3olry3is4e4lzm7rus5l3h6zrphcal5a7ayfkhzm5oivjro2cp4/#/tx/0x84af044cf9912bb5ec6b472f2a6494e8bafa21c8670eba1b709a00b6b227f5d9", "2024-12-04 17:36:45")</x:f>
      </x:c>
      <x:c r="G270" s="5">
        <x:v>1.18359104846E-5</x:v>
      </x:c>
      <x:c r="H270" s="5">
        <x:v>47.79684690829223</x:v>
      </x:c>
      <x:c r="I270" s="5">
        <x:v>47.79684690829223</x:v>
      </x:c>
      <x:c r="J270" s="5">
        <x:v>63.68081596343766</x:v>
      </x:c>
      <x:c r="K270" s="5">
        <x:v>15.883980891055915</x:v>
      </x:c>
      <x:c r="L270" s="4" t="e">
        <x:f>HYPERLINK("https://scan.mypinata.cloud/ipfs/bafybeih3olry3is4e4lzm7rus5l3h6zrphcal5a7ayfkhzm5oivjro2cp4/#/tx/0xdef9a87b2d08ce96311c43b1ae6fd33d37269fe56dabc22f3329d784a30ac2fc", "2025-02-16 17:08:15")</x:f>
      </x:c>
      <x:c r="M270" s="4" t="e">
        <x:f>HYPERLINK("https://scan.mypinata.cloud/ipfs/bafybeih3olry3is4e4lzm7rus5l3h6zrphcal5a7ayfkhzm5oivjro2cp4/#/tx/0xaa0e573f2831b2734761936fe9766c6e89097c4f82b707fd318727f428b35395", "2025-02-17 10:28:45")</x:f>
      </x:c>
      <x:c r="N270" s="2" t="e">
        <x:f>IFERROR(__xludf.DUMMYFUNCTION("IF(ISDATE(TO_DATE(L270)), MAX(0, ROUND(TODAY() - TO_DATE(L270)), 0), ""-"")"),501.0)</x:f>
      </x:c>
      <x:c r="O270" s="2" t="e">
        <x:f>IFERROR(__xludf.DUMMYFUNCTION("IF(ISDATE(TO_DATE(M270)), MAX(0, ROUND(TODAY() - TO_DATE(M270)), 0), ""-"")"),501.0)</x:f>
      </x:c>
      <x:c r="P270" s="2" t="s">
        <x:v>28</x:v>
      </x:c>
      <x:c r="Q270" s="2" t="s">
        <x:v>28</x:v>
      </x:c>
      <x:c r="R270" s="2" t="s">
        <x:v>28</x:v>
      </x:c>
      <x:c r="S270" s="2" t="s">
        <x:v>28</x:v>
      </x:c>
      <x:c r="T270" s="2" t="s">
        <x:v>28</x:v>
      </x:c>
      <x:c r="U270" s="2" t="s">
        <x:v>28</x:v>
      </x:c>
      <x:c r="V270" s="2" t="s">
        <x:v>28</x:v>
      </x:c>
      <x:c r="W270" s="2" t="s">
        <x:v>28</x:v>
      </x:c>
      <x:c r="X270" s="2" t="s">
        <x:v>28</x:v>
      </x:c>
      <x:c r="Y270" s="2" t="s">
        <x:v>28</x:v>
      </x:c>
      <x:c r="Z270" s="9" t="s">
        <x:v>590</x:v>
      </x:c>
      <x:c r="AA270" s="60" t="str">
        <x:v>Snapshot only — run GitHub workflow</x:v>
      </x:c>
      <x:c r="AB270" s="61" t="n">
        <x:f>IFERROR(H270/G270,"")</x:f>
        <x:v>4038290.6723130345</x:v>
      </x:c>
      <x:c r="AC270" s="60" t="str"/>
      <x:c r="AD270" s="60" t="str"/>
      <x:c r="AE270" s="60" t="str"/>
      <x:c r="AF270" s="60" t="str"/>
    </x:row>
    <x:row r="271" ht="15.75" customHeight="1">
      <x:c r="A271" s="11" t="s">
        <x:v>588</x:v>
      </x:c>
      <x:c r="B271" s="2" t="s">
        <x:v>591</x:v>
      </x:c>
      <x:c r="C271" s="3" t="e">
        <x:f>HYPERLINK("https://scan.mypinata.cloud/ipfs/bafybeih3olry3is4e4lzm7rus5l3h6zrphcal5a7ayfkhzm5oivjro2cp4/#/address/0x47d8a312E58798A2feC37cd0895AedA42E0155B0", "0x47d8a312E58798A2feC37cd0895AedA42E0155B0")</x:f>
      </x:c>
      <x:c r="D271" s="4" t="str">
        <x:f t="shared" si="17"/>
        <x:v>Atropa Dev Multiverse</x:v>
      </x:c>
      <x:c r="E271" s="4" t="e">
        <x:f>HYPERLINK("https://scan.mypinata.cloud/ipfs/bafybeih3olry3is4e4lzm7rus5l3h6zrphcal5a7ayfkhzm5oivjro2cp4/#/block/22101339", "22101339")</x:f>
      </x:c>
      <x:c r="F271" s="4" t="e">
        <x:f>HYPERLINK("https://scan.mypinata.cloud/ipfs/bafybeih3olry3is4e4lzm7rus5l3h6zrphcal5a7ayfkhzm5oivjro2cp4/#/tx/0x17ff2b4865514d045fbb247e944d31300e9c96168f1a441500790facac3523c5", "2024-12-04 17:59:15")</x:f>
      </x:c>
      <x:c r="G271" s="5">
        <x:v>0.0012649364116672</x:v>
      </x:c>
      <x:c r="H271" s="5">
        <x:v>178.9225180968901</x:v>
      </x:c>
      <x:c r="I271" s="5">
        <x:v>178.92280817772382</x:v>
      </x:c>
      <x:c r="J271" s="5">
        <x:v>378.79425207214587</x:v>
      </x:c>
      <x:c r="K271" s="5">
        <x:v>199.8727088308337</x:v>
      </x:c>
      <x:c r="L271" s="4" t="e">
        <x:f>HYPERLINK("https://scan.mypinata.cloud/ipfs/bafybeih3olry3is4e4lzm7rus5l3h6zrphcal5a7ayfkhzm5oivjro2cp4/#/tx/0x1132ecd58b507b21cce89e2e897ceb9df0711e481b52cb4416ed460e3beb44d9", "2025-02-14 12:19:25")</x:f>
      </x:c>
      <x:c r="M271" s="4" t="e">
        <x:f>HYPERLINK("https://scan.mypinata.cloud/ipfs/bafybeih3olry3is4e4lzm7rus5l3h6zrphcal5a7ayfkhzm5oivjro2cp4/#/tx/0xa74db78035ba0f6e7148c31ccb6157b92d85d08cd15b987bce4a3eab3ba71f62", "2024-12-16 03:52:25")</x:f>
      </x:c>
      <x:c r="N271" s="2" t="e">
        <x:f>IFERROR(__xludf.DUMMYFUNCTION("IF(ISDATE(TO_DATE(L271)), MAX(0, ROUND(TODAY() - TO_DATE(L271)), 0), ""-"")"),503.0)</x:f>
      </x:c>
      <x:c r="O271" s="2" t="e">
        <x:f>IFERROR(__xludf.DUMMYFUNCTION("IF(ISDATE(TO_DATE(M271)), MAX(0, ROUND(TODAY() - TO_DATE(M271)), 0), ""-"")"),564.0)</x:f>
      </x:c>
      <x:c r="P271" s="2" t="s">
        <x:v>28</x:v>
      </x:c>
      <x:c r="Q271" s="2" t="s">
        <x:v>28</x:v>
      </x:c>
      <x:c r="R271" s="2" t="s">
        <x:v>28</x:v>
      </x:c>
      <x:c r="S271" s="2" t="s">
        <x:v>28</x:v>
      </x:c>
      <x:c r="T271" s="2" t="s">
        <x:v>28</x:v>
      </x:c>
      <x:c r="U271" s="2" t="s">
        <x:v>28</x:v>
      </x:c>
      <x:c r="V271" s="2" t="s">
        <x:v>28</x:v>
      </x:c>
      <x:c r="W271" s="2" t="s">
        <x:v>28</x:v>
      </x:c>
      <x:c r="X271" s="2" t="s">
        <x:v>28</x:v>
      </x:c>
      <x:c r="Y271" s="2" t="s">
        <x:v>28</x:v>
      </x:c>
      <x:c r="Z271" s="9" t="s">
        <x:v>592</x:v>
      </x:c>
      <x:c r="AA271" s="60" t="str">
        <x:v>Snapshot only — run GitHub workflow</x:v>
      </x:c>
      <x:c r="AB271" s="61" t="n">
        <x:f>IFERROR(H271/G271,"")</x:f>
        <x:v>141447.8359912719</x:v>
      </x:c>
      <x:c r="AC271" s="60" t="str"/>
      <x:c r="AD271" s="60" t="str"/>
      <x:c r="AE271" s="60" t="str"/>
      <x:c r="AF271" s="60" t="str"/>
    </x:row>
    <x:row r="272" ht="15.75" customHeight="1">
      <x:c r="A272" s="2" t="s">
        <x:v>593</x:v>
      </x:c>
      <x:c r="B272" s="2" t="s">
        <x:v>594</x:v>
      </x:c>
      <x:c r="C272" s="3" t="e">
        <x:f>HYPERLINK("https://scan.mypinata.cloud/ipfs/bafybeih3olry3is4e4lzm7rus5l3h6zrphcal5a7ayfkhzm5oivjro2cp4/#/address/0xEa74629Cc0f1ed75c164119A9d1942FD5CF4C6D2", "0xEa74629Cc0f1ed75c164119A9d1942FD5CF4C6D2")</x:f>
      </x:c>
      <x:c r="D272" s="4" t="str">
        <x:f t="shared" si="17"/>
        <x:v>Atropa Dev Multiverse</x:v>
      </x:c>
      <x:c r="E272" s="4" t="e">
        <x:f>HYPERLINK("https://scan.mypinata.cloud/ipfs/bafybeih3olry3is4e4lzm7rus5l3h6zrphcal5a7ayfkhzm5oivjro2cp4/#/block/22104208", "22104208")</x:f>
      </x:c>
      <x:c r="F272" s="4" t="e">
        <x:f>HYPERLINK("https://scan.mypinata.cloud/ipfs/bafybeih3olry3is4e4lzm7rus5l3h6zrphcal5a7ayfkhzm5oivjro2cp4/#/tx/0x229f4301a2afdee30d173fb9d032119049b39f3966b22b43649f747915204b55", "2024-12-05 02:12:35")</x:f>
      </x:c>
      <x:c r="G272" s="5">
        <x:v>4.673084083054E-4</x:v>
      </x:c>
      <x:c r="H272" s="5">
        <x:v>243.97917454585578</x:v>
      </x:c>
      <x:c r="I272" s="5">
        <x:v>254.66640040801448</x:v>
      </x:c>
      <x:c r="J272" s="5">
        <x:v>1531.3427687455642</x:v>
      </x:c>
      <x:c r="K272" s="5">
        <x:v>1276.676835645958</x:v>
      </x:c>
      <x:c r="L272" s="4" t="e">
        <x:f>HYPERLINK("https://scan.mypinata.cloud/ipfs/bafybeih3olry3is4e4lzm7rus5l3h6zrphcal5a7ayfkhzm5oivjro2cp4/#/tx/0xca74271ade8b935e9375bce1e8be92c1a82380ac9727bed88bfc881787d6bb0e", "2025-02-23 21:48:25")</x:f>
      </x:c>
      <x:c r="M272" s="4" t="e">
        <x:f>HYPERLINK("https://scan.mypinata.cloud/ipfs/bafybeih3olry3is4e4lzm7rus5l3h6zrphcal5a7ayfkhzm5oivjro2cp4/#/tx/0xcb6c89bf15d7da775ae43e33a3c091bee6ec678c0f174c6aba4f960e38551d03", "2025-02-12 23:58:55")</x:f>
      </x:c>
      <x:c r="N272" s="2" t="e">
        <x:f>IFERROR(__xludf.DUMMYFUNCTION("IF(ISDATE(TO_DATE(L272)), MAX(0, ROUND(TODAY() - TO_DATE(L272)), 0), ""-"")"),494.0)</x:f>
      </x:c>
      <x:c r="O272" s="2" t="e">
        <x:f>IFERROR(__xludf.DUMMYFUNCTION("IF(ISDATE(TO_DATE(M272)), MAX(0, ROUND(TODAY() - TO_DATE(M272)), 0), ""-"")"),505.0)</x:f>
      </x:c>
      <x:c r="P272" s="2" t="s">
        <x:v>28</x:v>
      </x:c>
      <x:c r="Q272" s="2" t="s">
        <x:v>28</x:v>
      </x:c>
      <x:c r="R272" s="2" t="s">
        <x:v>28</x:v>
      </x:c>
      <x:c r="S272" s="2" t="s">
        <x:v>28</x:v>
      </x:c>
      <x:c r="T272" s="2" t="s">
        <x:v>28</x:v>
      </x:c>
      <x:c r="U272" s="2" t="s">
        <x:v>28</x:v>
      </x:c>
      <x:c r="V272" s="2" t="s">
        <x:v>28</x:v>
      </x:c>
      <x:c r="W272" s="2" t="s">
        <x:v>28</x:v>
      </x:c>
      <x:c r="X272" s="2" t="s">
        <x:v>28</x:v>
      </x:c>
      <x:c r="Y272" s="2" t="s">
        <x:v>28</x:v>
      </x:c>
      <x:c r="Z272" s="9" t="s">
        <x:v>592</x:v>
      </x:c>
      <x:c r="AA272" s="60" t="str">
        <x:v>Snapshot only — run GitHub workflow</x:v>
      </x:c>
      <x:c r="AB272" s="61" t="n">
        <x:f>IFERROR(H272/G272,"")</x:f>
        <x:v>522094.552996804</x:v>
      </x:c>
      <x:c r="AC272" s="60" t="str"/>
      <x:c r="AD272" s="60" t="str"/>
      <x:c r="AE272" s="60" t="str"/>
      <x:c r="AF272" s="60" t="str"/>
    </x:row>
    <x:row r="273" ht="15.75" customHeight="1">
      <x:c r="A273" s="2" t="s">
        <x:v>595</x:v>
      </x:c>
      <x:c r="B273" s="2" t="s">
        <x:v>596</x:v>
      </x:c>
      <x:c r="C273" s="3" t="e">
        <x:f>HYPERLINK("https://scan.mypinata.cloud/ipfs/bafybeih3olry3is4e4lzm7rus5l3h6zrphcal5a7ayfkhzm5oivjro2cp4/#/address/0x47171ebE6DEAd933d09498bB92230851BdA53713", "0x47171ebE6DEAd933d09498bB92230851BdA53713")</x:f>
      </x:c>
      <x:c r="D273" s="4" t="str">
        <x:f t="shared" si="17"/>
        <x:v>Atropa Dev Multiverse</x:v>
      </x:c>
      <x:c r="E273" s="4" t="e">
        <x:f>HYPERLINK("https://scan.mypinata.cloud/ipfs/bafybeih3olry3is4e4lzm7rus5l3h6zrphcal5a7ayfkhzm5oivjro2cp4/#/block/22109716", "22109716")</x:f>
      </x:c>
      <x:c r="F273" s="4" t="e">
        <x:f>HYPERLINK("https://scan.mypinata.cloud/ipfs/bafybeih3olry3is4e4lzm7rus5l3h6zrphcal5a7ayfkhzm5oivjro2cp4/#/tx/0xca01f21da77aae6fe8ba4aae3940f8831a058b67c5f41dff2f7ad15b4239e90c", "2024-12-05 17:55:45")</x:f>
      </x:c>
      <x:c r="G273" s="5">
        <x:v>7.455895976768E-4</x:v>
      </x:c>
      <x:c r="H273" s="5">
        <x:v>1.7894052326928555E15</x:v>
      </x:c>
      <x:c r="I273" s="5">
        <x:v>1.7607706921909355E15</x:v>
      </x:c>
      <x:c r="J273" s="5">
        <x:v>1.7607709881323258E15</x:v>
      </x:c>
      <x:c r="K273" s="5">
        <x:v>2.9594139022159594E8</x:v>
      </x:c>
      <x:c r="L273" s="4" t="e">
        <x:f>HYPERLINK("https://scan.mypinata.cloud/ipfs/bafybeih3olry3is4e4lzm7rus5l3h6zrphcal5a7ayfkhzm5oivjro2cp4/#/tx/0xff333e913b3f6d76654e01ab4f94de19d2c8bb8e86cdbf73a833c224053a3274", "2025-02-27 05:43:55")</x:f>
      </x:c>
      <x:c r="M273" s="4" t="e">
        <x:f>HYPERLINK("https://scan.mypinata.cloud/ipfs/bafybeih3olry3is4e4lzm7rus5l3h6zrphcal5a7ayfkhzm5oivjro2cp4/#/tx/0xc1283e6eacb289fb4f1b69ca541a4b330088091116915f7729e6f1adf960c0f5", "2025-02-20 08:06:35")</x:f>
      </x:c>
      <x:c r="N273" s="2" t="e">
        <x:f>IFERROR(__xludf.DUMMYFUNCTION("IF(ISDATE(TO_DATE(L273)), MAX(0, ROUND(TODAY() - TO_DATE(L273)), 0), ""-"")"),491.0)</x:f>
      </x:c>
      <x:c r="O273" s="2" t="e">
        <x:f>IFERROR(__xludf.DUMMYFUNCTION("IF(ISDATE(TO_DATE(M273)), MAX(0, ROUND(TODAY() - TO_DATE(M273)), 0), ""-"")"),498.0)</x:f>
      </x:c>
      <x:c r="P273" s="2" t="s">
        <x:v>28</x:v>
      </x:c>
      <x:c r="Q273" s="2" t="s">
        <x:v>28</x:v>
      </x:c>
      <x:c r="R273" s="2" t="s">
        <x:v>28</x:v>
      </x:c>
      <x:c r="S273" s="2" t="s">
        <x:v>28</x:v>
      </x:c>
      <x:c r="T273" s="2" t="s">
        <x:v>28</x:v>
      </x:c>
      <x:c r="U273" s="2" t="s">
        <x:v>28</x:v>
      </x:c>
      <x:c r="V273" s="2" t="s">
        <x:v>28</x:v>
      </x:c>
      <x:c r="W273" s="2" t="s">
        <x:v>28</x:v>
      </x:c>
      <x:c r="X273" s="2" t="s">
        <x:v>28</x:v>
      </x:c>
      <x:c r="Y273" s="2" t="s">
        <x:v>28</x:v>
      </x:c>
      <x:c r="Z273" s="9" t="s">
        <x:v>597</x:v>
      </x:c>
      <x:c r="AA273" s="60" t="str">
        <x:v>Snapshot only — run GitHub workflow</x:v>
      </x:c>
      <x:c r="AB273" s="61" t="n">
        <x:f>IFERROR(H273/G273,"")</x:f>
        <x:v>2399986853717521000</x:v>
      </x:c>
      <x:c r="AC273" s="60" t="str"/>
      <x:c r="AD273" s="60" t="str"/>
      <x:c r="AE273" s="60" t="str"/>
      <x:c r="AF273" s="60" t="str"/>
    </x:row>
    <x:row r="274" ht="15.75" customHeight="1">
      <x:c r="A274" s="2" t="s">
        <x:v>598</x:v>
      </x:c>
      <x:c r="B274" s="2" t="s">
        <x:v>599</x:v>
      </x:c>
      <x:c r="C274" s="3" t="e">
        <x:f>HYPERLINK("https://scan.mypinata.cloud/ipfs/bafybeih3olry3is4e4lzm7rus5l3h6zrphcal5a7ayfkhzm5oivjro2cp4/#/address/0x9CCc2de565da893AB1300674F174545A3E568F93", "0x9CCc2de565da893AB1300674F174545A3E568F93")</x:f>
      </x:c>
      <x:c r="D274" s="4" t="str">
        <x:f t="shared" si="17"/>
        <x:v>Atropa Dev Multiverse</x:v>
      </x:c>
      <x:c r="E274" s="4" t="e">
        <x:f>HYPERLINK("https://scan.mypinata.cloud/ipfs/bafybeih3olry3is4e4lzm7rus5l3h6zrphcal5a7ayfkhzm5oivjro2cp4/#/block/22118904", "22118904")</x:f>
      </x:c>
      <x:c r="F274" s="4" t="e">
        <x:f>HYPERLINK("https://scan.mypinata.cloud/ipfs/bafybeih3olry3is4e4lzm7rus5l3h6zrphcal5a7ayfkhzm5oivjro2cp4/#/tx/0xd3efe3bc95c1635210ac5b16e0b6d480358fdf7bce56219381f5ab5650d99fc5", "2024-12-06 20:09:25")</x:f>
      </x:c>
      <x:c r="G274" s="5">
        <x:v>1.0</x:v>
      </x:c>
      <x:c r="H274" s="5">
        <x:v>59.0</x:v>
      </x:c>
      <x:c r="I274" s="5">
        <x:v>59.0</x:v>
      </x:c>
      <x:c r="J274" s="5">
        <x:v>58.0</x:v>
      </x:c>
      <x:c r="K274" s="10" t="s">
        <x:v>600</x:v>
      </x:c>
      <x:c r="L274" s="4" t="e">
        <x:f>HYPERLINK("https://scan.mypinata.cloud/ipfs/bafybeih3olry3is4e4lzm7rus5l3h6zrphcal5a7ayfkhzm5oivjro2cp4/#/tx/0xf71b9a058a06e2593733af8965aab52cf2e3fd3fb2d408bd985b2417135a59d8", "2024-12-12 18:14:25")</x:f>
      </x:c>
      <x:c r="M274" s="4" t="e">
        <x:f>HYPERLINK("https://scan.mypinata.cloud/ipfs/bafybeih3olry3is4e4lzm7rus5l3h6zrphcal5a7ayfkhzm5oivjro2cp4/#/tx/0x74fe7266515c92920a9ce0638d9d2fe46ec2eeaacc2d5ffef55f5b13341fbb3a", "2024-12-06 23:12:35")</x:f>
      </x:c>
      <x:c r="N274" s="2" t="e">
        <x:f>IFERROR(__xludf.DUMMYFUNCTION("IF(ISDATE(TO_DATE(L274)), MAX(0, ROUND(TODAY() - TO_DATE(L274)), 0), ""-"")"),567.0)</x:f>
      </x:c>
      <x:c r="O274" s="2" t="e">
        <x:f>IFERROR(__xludf.DUMMYFUNCTION("IF(ISDATE(TO_DATE(M274)), MAX(0, ROUND(TODAY() - TO_DATE(M274)), 0), ""-"")"),573.0)</x:f>
      </x:c>
      <x:c r="P274" s="2" t="s">
        <x:v>28</x:v>
      </x:c>
      <x:c r="Q274" s="2" t="s">
        <x:v>28</x:v>
      </x:c>
      <x:c r="R274" s="2" t="s">
        <x:v>28</x:v>
      </x:c>
      <x:c r="S274" s="2" t="s">
        <x:v>28</x:v>
      </x:c>
      <x:c r="T274" s="2" t="s">
        <x:v>28</x:v>
      </x:c>
      <x:c r="U274" s="2" t="s">
        <x:v>28</x:v>
      </x:c>
      <x:c r="V274" s="2" t="s">
        <x:v>28</x:v>
      </x:c>
      <x:c r="W274" s="2" t="s">
        <x:v>28</x:v>
      </x:c>
      <x:c r="X274" s="2" t="s">
        <x:v>28</x:v>
      </x:c>
      <x:c r="Y274" s="2" t="s">
        <x:v>28</x:v>
      </x:c>
      <x:c r="Z274" s="9" t="s">
        <x:v>597</x:v>
      </x:c>
      <x:c r="AA274" s="60" t="str">
        <x:v>Snapshot only — run GitHub workflow</x:v>
      </x:c>
      <x:c r="AB274" s="61" t="n">
        <x:f>IFERROR(H274/G274,"")</x:f>
        <x:v>59</x:v>
      </x:c>
      <x:c r="AC274" s="60" t="str"/>
      <x:c r="AD274" s="60" t="str"/>
      <x:c r="AE274" s="60" t="str"/>
      <x:c r="AF274" s="60" t="str"/>
    </x:row>
    <x:row r="275" ht="15.75" customHeight="1">
      <x:c r="A275" s="2" t="s">
        <x:v>601</x:v>
      </x:c>
      <x:c r="B275" s="2" t="s">
        <x:v>602</x:v>
      </x:c>
      <x:c r="C275" s="3" t="e">
        <x:f>HYPERLINK("https://scan.mypinata.cloud/ipfs/bafybeih3olry3is4e4lzm7rus5l3h6zrphcal5a7ayfkhzm5oivjro2cp4/#/address/0x8511970Af1823e79f26e5CB9ED2E7B2Bc7AA581B", "0x8511970Af1823e79f26e5CB9ED2E7B2Bc7AA581B")</x:f>
      </x:c>
      <x:c r="D275" s="4" t="str">
        <x:f t="shared" si="17"/>
        <x:v>Atropa Dev Multiverse</x:v>
      </x:c>
      <x:c r="E275" s="4" t="e">
        <x:f>HYPERLINK("https://scan.mypinata.cloud/ipfs/bafybeih3olry3is4e4lzm7rus5l3h6zrphcal5a7ayfkhzm5oivjro2cp4/#/block/22126662", "22126662")</x:f>
      </x:c>
      <x:c r="F275" s="4" t="e">
        <x:f>HYPERLINK("https://scan.mypinata.cloud/ipfs/bafybeih3olry3is4e4lzm7rus5l3h6zrphcal5a7ayfkhzm5oivjro2cp4/#/tx/0x25331d8e436db80296d563d4fc3a6ae40897eb4431e1177f75436c4bdae04520", "2024-12-07 18:18:35")</x:f>
      </x:c>
      <x:c r="G275" s="5">
        <x:v>191.0</x:v>
      </x:c>
      <x:c r="H275" s="5">
        <x:v>191.0</x:v>
      </x:c>
      <x:c r="I275" s="5">
        <x:v>191.0</x:v>
      </x:c>
      <x:c r="J275" s="5">
        <x:v>0.0</x:v>
      </x:c>
      <x:c r="K275" s="5">
        <x:v>0.0</x:v>
      </x:c>
      <x:c r="L275" s="2" t="s">
        <x:v>28</x:v>
      </x:c>
      <x:c r="M275" s="2" t="s">
        <x:v>28</x:v>
      </x:c>
      <x:c r="N275" s="2" t="e">
        <x:f>IFERROR(__xludf.DUMMYFUNCTION("IF(ISDATE(TO_DATE(L275)), MAX(0, ROUND(TODAY() - TO_DATE(L275)), 0), ""-"")"),"-")</x:f>
      </x:c>
      <x:c r="O275" s="2" t="e">
        <x:f>IFERROR(__xludf.DUMMYFUNCTION("IF(ISDATE(TO_DATE(M275)), MAX(0, ROUND(TODAY() - TO_DATE(M275)), 0), ""-"")"),"-")</x:f>
      </x:c>
      <x:c r="P275" s="2" t="s">
        <x:v>28</x:v>
      </x:c>
      <x:c r="Q275" s="2" t="s">
        <x:v>28</x:v>
      </x:c>
      <x:c r="R275" s="2" t="s">
        <x:v>28</x:v>
      </x:c>
      <x:c r="S275" s="2" t="s">
        <x:v>28</x:v>
      </x:c>
      <x:c r="T275" s="2" t="s">
        <x:v>28</x:v>
      </x:c>
      <x:c r="U275" s="2" t="s">
        <x:v>28</x:v>
      </x:c>
      <x:c r="V275" s="2" t="s">
        <x:v>28</x:v>
      </x:c>
      <x:c r="W275" s="2" t="s">
        <x:v>28</x:v>
      </x:c>
      <x:c r="X275" s="2" t="s">
        <x:v>28</x:v>
      </x:c>
      <x:c r="Y275" s="2" t="s">
        <x:v>28</x:v>
      </x:c>
      <x:c r="Z275" s="9" t="s">
        <x:v>603</x:v>
      </x:c>
      <x:c r="AA275" s="60" t="str">
        <x:v>Snapshot only — run GitHub workflow</x:v>
      </x:c>
      <x:c r="AB275" s="61" t="n">
        <x:f>IFERROR(H275/G275,"")</x:f>
        <x:v>1</x:v>
      </x:c>
      <x:c r="AC275" s="60" t="str"/>
      <x:c r="AD275" s="60" t="str"/>
      <x:c r="AE275" s="60" t="str"/>
      <x:c r="AF275" s="60" t="str"/>
    </x:row>
    <x:row r="276" ht="15.75" customHeight="1">
      <x:c r="A276" s="12" t="s">
        <x:v>604</x:v>
      </x:c>
      <x:c r="B276" s="12" t="s">
        <x:v>605</x:v>
      </x:c>
      <x:c r="C276" s="13" t="e">
        <x:f>HYPERLINK("https://scan.mypinata.cloud/ipfs/bafybeih3olry3is4e4lzm7rus5l3h6zrphcal5a7ayfkhzm5oivjro2cp4/#/address/0xc7eB14e178220E84530748a71b91F07c3545dE50", "0xc7eB14e178220E84530748a71b91F07c3545dE50")</x:f>
      </x:c>
      <x:c r="D276" s="14" t="str">
        <x:f t="shared" si="17"/>
        <x:v>Atropa Dev Multiverse</x:v>
      </x:c>
      <x:c r="E276" s="14" t="e">
        <x:f>HYPERLINK("https://scan.mypinata.cloud/ipfs/bafybeih3olry3is4e4lzm7rus5l3h6zrphcal5a7ayfkhzm5oivjro2cp4/#/block/22145839", "22145839")</x:f>
      </x:c>
      <x:c r="F276" s="14" t="e">
        <x:f>HYPERLINK("https://scan.mypinata.cloud/ipfs/bafybeih3olry3is4e4lzm7rus5l3h6zrphcal5a7ayfkhzm5oivjro2cp4/#/tx/0x10196f95e04d21117bcdeaed587c9bde4efb091ab74f83939b270e94f4f0ff65", "2024-12-10 01:07:45")</x:f>
      </x:c>
      <x:c r="G276" s="15">
        <x:v>229.0</x:v>
      </x:c>
      <x:c r="H276" s="15">
        <x:v>229.0</x:v>
      </x:c>
      <x:c r="I276" s="15">
        <x:v>229.0</x:v>
      </x:c>
      <x:c r="J276" s="15">
        <x:v>0.0</x:v>
      </x:c>
      <x:c r="K276" s="15">
        <x:v>0.0</x:v>
      </x:c>
      <x:c r="L276" s="16" t="s">
        <x:v>28</x:v>
      </x:c>
      <x:c r="M276" s="16" t="s">
        <x:v>28</x:v>
      </x:c>
      <x:c r="N276" s="16" t="e">
        <x:f>IFERROR(__xludf.DUMMYFUNCTION("IF(ISDATE(TO_DATE(L276)), MAX(0, ROUND(TODAY() - TO_DATE(L276)), 0), ""-"")"),"-")</x:f>
      </x:c>
      <x:c r="O276" s="16" t="e">
        <x:f>IFERROR(__xludf.DUMMYFUNCTION("IF(ISDATE(TO_DATE(M276)), MAX(0, ROUND(TODAY() - TO_DATE(M276)), 0), ""-"")"),"-")</x:f>
      </x:c>
      <x:c r="P276" s="17">
        <x:v>1327.4</x:v>
      </x:c>
      <x:c r="Q276" s="17">
        <x:v>3.37622196029E7</x:v>
      </x:c>
      <x:c r="R276" s="18">
        <x:v>303974.6</x:v>
      </x:c>
      <x:c r="S276" s="18">
        <x:v>303976.0</x:v>
      </x:c>
      <x:c r="T276" s="18">
        <x:v>4207.5</x:v>
      </x:c>
      <x:c r="U276" s="18">
        <x:v>63850.670000000006</x:v>
      </x:c>
      <x:c r="V276" s="16" t="s">
        <x:v>28</x:v>
      </x:c>
      <x:c r="W276" s="16" t="s">
        <x:v>28</x:v>
      </x:c>
      <x:c r="X276" s="16" t="s">
        <x:v>28</x:v>
      </x:c>
      <x:c r="Y276" s="16" t="s">
        <x:v>28</x:v>
      </x:c>
      <x:c r="Z276" s="19" t="s">
        <x:v>603</x:v>
      </x:c>
      <x:c r="AA276" s="60" t="str">
        <x:v>Snapshot only — run GitHub workflow</x:v>
      </x:c>
      <x:c r="AB276" s="61" t="n">
        <x:f>IFERROR(H276/G276,"")</x:f>
        <x:v>1</x:v>
      </x:c>
      <x:c r="AC276" s="60" t="str"/>
      <x:c r="AD276" s="60" t="str"/>
      <x:c r="AE276" s="60" t="str"/>
      <x:c r="AF276" s="60" t="str"/>
    </x:row>
    <x:row r="277" ht="15.75" customHeight="1">
      <x:c r="A277" s="2" t="s">
        <x:v>606</x:v>
      </x:c>
      <x:c r="B277" s="2" t="s">
        <x:v>606</x:v>
      </x:c>
      <x:c r="C277" s="3" t="e">
        <x:f>HYPERLINK("https://scan.mypinata.cloud/ipfs/bafybeih3olry3is4e4lzm7rus5l3h6zrphcal5a7ayfkhzm5oivjro2cp4/#/address/0x16951Ce6D1D1D67E9239192e3eaE4d250576d90c", "0x16951Ce6D1D1D67E9239192e3eaE4d250576d90c")</x:f>
      </x:c>
      <x:c r="D277" s="4" t="str">
        <x:f t="shared" si="17"/>
        <x:v>Atropa Dev Multiverse</x:v>
      </x:c>
      <x:c r="E277" s="4" t="e">
        <x:f>HYPERLINK("https://scan.mypinata.cloud/ipfs/bafybeih3olry3is4e4lzm7rus5l3h6zrphcal5a7ayfkhzm5oivjro2cp4/#/block/22146329", "22146329")</x:f>
      </x:c>
      <x:c r="F277" s="4" t="e">
        <x:f>HYPERLINK("https://scan.mypinata.cloud/ipfs/bafybeih3olry3is4e4lzm7rus5l3h6zrphcal5a7ayfkhzm5oivjro2cp4/#/tx/0x609c54c14f07c7262478c8d64b5f11b0473ea42f5250afa9fb1a5f64880a398a", "2024-12-10 02:31:15")</x:f>
      </x:c>
      <x:c r="G277" s="5">
        <x:v>8.4255212E7</x:v>
      </x:c>
      <x:c r="H277" s="5">
        <x:v>8.4255212E7</x:v>
      </x:c>
      <x:c r="I277" s="5">
        <x:v>8.4255212E7</x:v>
      </x:c>
      <x:c r="J277" s="5">
        <x:v>0.0</x:v>
      </x:c>
      <x:c r="K277" s="5">
        <x:v>0.0</x:v>
      </x:c>
      <x:c r="L277" s="2" t="s">
        <x:v>28</x:v>
      </x:c>
      <x:c r="M277" s="2" t="s">
        <x:v>28</x:v>
      </x:c>
      <x:c r="N277" s="2" t="e">
        <x:f>IFERROR(__xludf.DUMMYFUNCTION("IF(ISDATE(TO_DATE(L277)), MAX(0, ROUND(TODAY() - TO_DATE(L277)), 0), ""-"")"),"-")</x:f>
      </x:c>
      <x:c r="O277" s="2" t="e">
        <x:f>IFERROR(__xludf.DUMMYFUNCTION("IF(ISDATE(TO_DATE(M277)), MAX(0, ROUND(TODAY() - TO_DATE(M277)), 0), ""-"")"),"-")</x:f>
      </x:c>
      <x:c r="P277" s="6">
        <x:v>2.28</x:v>
      </x:c>
      <x:c r="Q277" s="6">
        <x:v>56545.07362</x:v>
      </x:c>
      <x:c r="R277" s="7">
        <x:v>1.9210188336E8</x:v>
      </x:c>
      <x:c r="S277" s="7">
        <x:v>1.92508361E8</x:v>
      </x:c>
      <x:c r="T277" s="7">
        <x:v>633.86</x:v>
      </x:c>
      <x:c r="U277" s="7">
        <x:v>185819.84</x:v>
      </x:c>
      <x:c r="V277" s="2" t="s">
        <x:v>28</x:v>
      </x:c>
      <x:c r="W277" s="2" t="s">
        <x:v>28</x:v>
      </x:c>
      <x:c r="X277" s="2" t="s">
        <x:v>28</x:v>
      </x:c>
      <x:c r="Y277" s="2" t="s">
        <x:v>28</x:v>
      </x:c>
      <x:c r="Z277" s="9" t="s">
        <x:v>603</x:v>
      </x:c>
      <x:c r="AA277" s="60" t="str">
        <x:v>Snapshot only — run GitHub workflow</x:v>
      </x:c>
      <x:c r="AB277" s="61" t="n">
        <x:f>IFERROR(H277/G277,"")</x:f>
        <x:v>1</x:v>
      </x:c>
      <x:c r="AC277" s="60" t="str"/>
      <x:c r="AD277" s="60" t="str"/>
      <x:c r="AE277" s="60" t="str"/>
      <x:c r="AF277" s="60" t="str"/>
    </x:row>
    <x:row r="278" ht="15.75" customHeight="1">
      <x:c r="A278" s="2" t="s">
        <x:v>607</x:v>
      </x:c>
      <x:c r="B278" s="2" t="s">
        <x:v>608</x:v>
      </x:c>
      <x:c r="C278" s="3" t="e">
        <x:f>HYPERLINK("https://scan.mypinata.cloud/ipfs/bafybeih3olry3is4e4lzm7rus5l3h6zrphcal5a7ayfkhzm5oivjro2cp4/#/address/0x2dB160Ceea0f1b4cA0159fCF67FCcF8e549191Ff", "0x2dB160Ceea0f1b4cA0159fCF67FCcF8e549191Ff")</x:f>
      </x:c>
      <x:c r="D278" s="4" t="str">
        <x:f t="shared" si="17"/>
        <x:v>Atropa Dev Multiverse</x:v>
      </x:c>
      <x:c r="E278" s="4" t="e">
        <x:f>HYPERLINK("https://scan.mypinata.cloud/ipfs/bafybeih3olry3is4e4lzm7rus5l3h6zrphcal5a7ayfkhzm5oivjro2cp4/#/block/22177194", "22177194")</x:f>
      </x:c>
      <x:c r="F278" s="4" t="e">
        <x:f>HYPERLINK("https://scan.mypinata.cloud/ipfs/bafybeih3olry3is4e4lzm7rus5l3h6zrphcal5a7ayfkhzm5oivjro2cp4/#/tx/0x8dfa0d3996d82feaa42617dfb924868cba9afe12d069a60169ea3e4a1155c81e", "2024-12-13 18:58:35")</x:f>
      </x:c>
      <x:c r="G278" s="5">
        <x:v>9.85930415E8</x:v>
      </x:c>
      <x:c r="H278" s="5">
        <x:v>9.85930415E8</x:v>
      </x:c>
      <x:c r="I278" s="5">
        <x:v>9.859269362830473E8</x:v>
      </x:c>
      <x:c r="J278" s="5">
        <x:v>0.0</x:v>
      </x:c>
      <x:c r="K278" s="5">
        <x:v>3478.716952620782</x:v>
      </x:c>
      <x:c r="L278" s="2" t="s">
        <x:v>28</x:v>
      </x:c>
      <x:c r="M278" s="4" t="e">
        <x:f>HYPERLINK("https://scan.mypinata.cloud/ipfs/bafybeih3olry3is4e4lzm7rus5l3h6zrphcal5a7ayfkhzm5oivjro2cp4/#/tx/0x4d314aeb2439daa9339b4b781ca9cf3602c2598484b8a0a935d504ab0d6b8d4f", "2025-02-19 18:00:35")</x:f>
      </x:c>
      <x:c r="N278" s="2" t="e">
        <x:f>IFERROR(__xludf.DUMMYFUNCTION("IF(ISDATE(TO_DATE(L278)), MAX(0, ROUND(TODAY() - TO_DATE(L278)), 0), ""-"")"),"-")</x:f>
      </x:c>
      <x:c r="O278" s="2" t="e">
        <x:f>IFERROR(__xludf.DUMMYFUNCTION("IF(ISDATE(TO_DATE(M278)), MAX(0, ROUND(TODAY() - TO_DATE(M278)), 0), ""-"")"),498.0)</x:f>
      </x:c>
      <x:c r="P278" s="6">
        <x:v>3.676E-5</x:v>
      </x:c>
      <x:c r="Q278" s="6">
        <x:v>0.9616</x:v>
      </x:c>
      <x:c r="R278" s="7">
        <x:v>36242.8020554</x:v>
      </x:c>
      <x:c r="S278" s="7">
        <x:v>36248.0</x:v>
      </x:c>
      <x:c r="T278" s="7">
        <x:v>31.16</x:v>
      </x:c>
      <x:c r="U278" s="7">
        <x:v>7645.19</x:v>
      </x:c>
      <x:c r="V278" s="2" t="s">
        <x:v>28</x:v>
      </x:c>
      <x:c r="W278" s="2" t="s">
        <x:v>28</x:v>
      </x:c>
      <x:c r="X278" s="2" t="s">
        <x:v>28</x:v>
      </x:c>
      <x:c r="Y278" s="2" t="s">
        <x:v>28</x:v>
      </x:c>
      <x:c r="Z278" s="9" t="s">
        <x:v>609</x:v>
      </x:c>
      <x:c r="AA278" s="60" t="str">
        <x:v>Snapshot only — run GitHub workflow</x:v>
      </x:c>
      <x:c r="AB278" s="61" t="n">
        <x:f>IFERROR(H278/G278,"")</x:f>
        <x:v>1</x:v>
      </x:c>
      <x:c r="AC278" s="60" t="str"/>
      <x:c r="AD278" s="60" t="str"/>
      <x:c r="AE278" s="60" t="str"/>
      <x:c r="AF278" s="60" t="str"/>
    </x:row>
    <x:row r="279" ht="15.75" customHeight="1">
      <x:c r="A279" s="2" t="s">
        <x:v>610</x:v>
      </x:c>
      <x:c r="B279" s="2" t="s">
        <x:v>611</x:v>
      </x:c>
      <x:c r="C279" s="3" t="e">
        <x:f>HYPERLINK("https://scan.mypinata.cloud/ipfs/bafybeih3olry3is4e4lzm7rus5l3h6zrphcal5a7ayfkhzm5oivjro2cp4/#/address/0x69d4D6842D47838da249fB6fd685757E18908545", "0x69d4D6842D47838da249fB6fd685757E18908545")</x:f>
      </x:c>
      <x:c r="D279" s="4" t="str">
        <x:f t="shared" si="17"/>
        <x:v>Atropa Dev Multiverse</x:v>
      </x:c>
      <x:c r="E279" s="4" t="e">
        <x:f>HYPERLINK("https://scan.mypinata.cloud/ipfs/bafybeih3olry3is4e4lzm7rus5l3h6zrphcal5a7ayfkhzm5oivjro2cp4/#/block/22178426", "22178426")</x:f>
      </x:c>
      <x:c r="F279" s="4" t="e">
        <x:f>HYPERLINK("https://scan.mypinata.cloud/ipfs/bafybeih3olry3is4e4lzm7rus5l3h6zrphcal5a7ayfkhzm5oivjro2cp4/#/tx/0xeb5ab09a2202514552fcbc8387881110fd68fd865013f6436245fd0b7f1c138a", "2024-12-13 22:28:55")</x:f>
      </x:c>
      <x:c r="G279" s="5">
        <x:v>879138.0</x:v>
      </x:c>
      <x:c r="H279" s="5">
        <x:v>879138.0</x:v>
      </x:c>
      <x:c r="I279" s="5">
        <x:v>879138.0</x:v>
      </x:c>
      <x:c r="J279" s="5">
        <x:v>0.0</x:v>
      </x:c>
      <x:c r="K279" s="5">
        <x:v>0.0</x:v>
      </x:c>
      <x:c r="L279" s="2" t="s">
        <x:v>28</x:v>
      </x:c>
      <x:c r="M279" s="2" t="s">
        <x:v>28</x:v>
      </x:c>
      <x:c r="N279" s="2" t="e">
        <x:f>IFERROR(__xludf.DUMMYFUNCTION("IF(ISDATE(TO_DATE(L279)), MAX(0, ROUND(TODAY() - TO_DATE(L279)), 0), ""-"")"),"-")</x:f>
      </x:c>
      <x:c r="O279" s="2" t="e">
        <x:f>IFERROR(__xludf.DUMMYFUNCTION("IF(ISDATE(TO_DATE(M279)), MAX(0, ROUND(TODAY() - TO_DATE(M279)), 0), ""-"")"),"-")</x:f>
      </x:c>
      <x:c r="P279" s="6">
        <x:v>0.2572</x:v>
      </x:c>
      <x:c r="Q279" s="6">
        <x:v>6598.6702</x:v>
      </x:c>
      <x:c r="R279" s="7">
        <x:v>226114.2936</x:v>
      </x:c>
      <x:c r="S279" s="7">
        <x:v>226189.0</x:v>
      </x:c>
      <x:c r="T279" s="7">
        <x:v>930.62</x:v>
      </x:c>
      <x:c r="U279" s="7">
        <x:v>58599.649999999994</x:v>
      </x:c>
      <x:c r="V279" s="2" t="s">
        <x:v>28</x:v>
      </x:c>
      <x:c r="W279" s="2" t="s">
        <x:v>28</x:v>
      </x:c>
      <x:c r="X279" s="2" t="s">
        <x:v>28</x:v>
      </x:c>
      <x:c r="Y279" s="2" t="s">
        <x:v>28</x:v>
      </x:c>
      <x:c r="Z279" s="9" t="s">
        <x:v>612</x:v>
      </x:c>
      <x:c r="AA279" s="60" t="str">
        <x:v>Snapshot only — run GitHub workflow</x:v>
      </x:c>
      <x:c r="AB279" s="61" t="n">
        <x:f>IFERROR(H279/G279,"")</x:f>
        <x:v>1</x:v>
      </x:c>
      <x:c r="AC279" s="60" t="str"/>
      <x:c r="AD279" s="60" t="str"/>
      <x:c r="AE279" s="60" t="str"/>
      <x:c r="AF279" s="60" t="str"/>
    </x:row>
    <x:row r="280" ht="15.75" customHeight="1">
      <x:c r="A280" s="2" t="s">
        <x:v>613</x:v>
      </x:c>
      <x:c r="B280" s="2" t="s">
        <x:v>613</x:v>
      </x:c>
      <x:c r="C280" s="3" t="e">
        <x:f>HYPERLINK("https://scan.mypinata.cloud/ipfs/bafybeih3olry3is4e4lzm7rus5l3h6zrphcal5a7ayfkhzm5oivjro2cp4/#/address/0xF18B09A5B358b720F23D736163d328DBA0BdDf41", "0xF18B09A5B358b720F23D736163d328DBA0BdDf41")</x:f>
      </x:c>
      <x:c r="D280" s="4" t="str">
        <x:f t="shared" si="17"/>
        <x:v>Atropa Dev Multiverse</x:v>
      </x:c>
      <x:c r="E280" s="4" t="e">
        <x:f>HYPERLINK("https://scan.mypinata.cloud/ipfs/bafybeih3olry3is4e4lzm7rus5l3h6zrphcal5a7ayfkhzm5oivjro2cp4/#/block/22180431", "22180431")</x:f>
      </x:c>
      <x:c r="F280" s="4" t="e">
        <x:f>HYPERLINK("https://scan.mypinata.cloud/ipfs/bafybeih3olry3is4e4lzm7rus5l3h6zrphcal5a7ayfkhzm5oivjro2cp4/#/tx/0x0facbc383dd03a4c9651716efbbd5f768bea5ccf3ae001d0e867e795648dcea5", "2024-12-14 04:09:35")</x:f>
      </x:c>
      <x:c r="G280" s="5">
        <x:v>111111.0</x:v>
      </x:c>
      <x:c r="H280" s="5">
        <x:v>111111.0</x:v>
      </x:c>
      <x:c r="I280" s="5">
        <x:v>111110.5846102302</x:v>
      </x:c>
      <x:c r="J280" s="5">
        <x:v>0.0</x:v>
      </x:c>
      <x:c r="K280" s="5">
        <x:v>0.4153897697995676</x:v>
      </x:c>
      <x:c r="L280" s="2" t="s">
        <x:v>28</x:v>
      </x:c>
      <x:c r="M280" s="4" t="e">
        <x:f>HYPERLINK("https://scan.mypinata.cloud/ipfs/bafybeih3olry3is4e4lzm7rus5l3h6zrphcal5a7ayfkhzm5oivjro2cp4/#/tx/0x933f191d11d0b31b5c3fe033ea69baf6fde59ff322734fb5db2ca25f155fd0f8", "2025-02-27 11:07:15")</x:f>
      </x:c>
      <x:c r="N280" s="2" t="e">
        <x:f>IFERROR(__xludf.DUMMYFUNCTION("IF(ISDATE(TO_DATE(L280)), MAX(0, ROUND(TODAY() - TO_DATE(L280)), 0), ""-"")"),"-")</x:f>
      </x:c>
      <x:c r="O280" s="2" t="e">
        <x:f>IFERROR(__xludf.DUMMYFUNCTION("IF(ISDATE(TO_DATE(M280)), MAX(0, ROUND(TODAY() - TO_DATE(M280)), 0), ""-"")"),491.0)</x:f>
      </x:c>
      <x:c r="P280" s="6">
        <x:v>17.3</x:v>
      </x:c>
      <x:c r="Q280" s="6">
        <x:v>440973.9014</x:v>
      </x:c>
      <x:c r="R280" s="7">
        <x:v>1922220.3</x:v>
      </x:c>
      <x:c r="S280" s="7">
        <x:v>1923066.0</x:v>
      </x:c>
      <x:c r="T280" s="7">
        <x:v>24887.289999999997</x:v>
      </x:c>
      <x:c r="U280" s="7">
        <x:v>1551225.0399999993</x:v>
      </x:c>
      <x:c r="V280" s="8" t="n">
        <x:f t="array" ref="V280">-0.22%</x:f>
        <x:v>-0.0022</x:v>
      </x:c>
      <x:c r="W280" s="8" t="n">
        <x:f t="array" ref="W280">0.26%</x:f>
        <x:v>0.0026</x:v>
      </x:c>
      <x:c r="X280" s="8" t="n">
        <x:f t="array" ref="X280">-7.87%</x:f>
        <x:v>-0.0787</x:v>
      </x:c>
      <x:c r="Y280" s="8" t="n">
        <x:f t="array" ref="Y280">-7.74%</x:f>
        <x:v>-0.0774</x:v>
      </x:c>
      <x:c r="Z280" s="9" t="s">
        <x:v>612</x:v>
      </x:c>
      <x:c r="AA280" s="60" t="str">
        <x:v>Snapshot only — run GitHub workflow</x:v>
      </x:c>
      <x:c r="AB280" s="61" t="n">
        <x:f>IFERROR(H280/G280,"")</x:f>
        <x:v>1</x:v>
      </x:c>
      <x:c r="AC280" s="60" t="str"/>
      <x:c r="AD280" s="60" t="str"/>
      <x:c r="AE280" s="60" t="str"/>
      <x:c r="AF280" s="60" t="str"/>
    </x:row>
    <x:row r="281" ht="15.75" customHeight="1">
      <x:c r="A281" s="2" t="s">
        <x:v>614</x:v>
      </x:c>
      <x:c r="B281" s="2" t="s">
        <x:v>615</x:v>
      </x:c>
      <x:c r="C281" s="3" t="e">
        <x:f>HYPERLINK("https://scan.mypinata.cloud/ipfs/bafybeih3olry3is4e4lzm7rus5l3h6zrphcal5a7ayfkhzm5oivjro2cp4/#/address/0x1D177CB9EfEEa49A8B97ab1C72785a3A37ABc9Ff", "0x1D177CB9EfEEa49A8B97ab1C72785a3A37ABc9Ff")</x:f>
      </x:c>
      <x:c r="D281" s="4" t="str">
        <x:f t="shared" si="17"/>
        <x:v>Atropa Dev Multiverse</x:v>
      </x:c>
      <x:c r="E281" s="4" t="e">
        <x:f>HYPERLINK("https://scan.mypinata.cloud/ipfs/bafybeih3olry3is4e4lzm7rus5l3h6zrphcal5a7ayfkhzm5oivjro2cp4/#/block/22194132", "22194132")</x:f>
      </x:c>
      <x:c r="F281" s="4" t="e">
        <x:f>HYPERLINK("https://scan.mypinata.cloud/ipfs/bafybeih3olry3is4e4lzm7rus5l3h6zrphcal5a7ayfkhzm5oivjro2cp4/#/tx/0xf76a8e73e13c7be6e40266591800aba2f7d00b09e7a68a5c0b6ff7047791c64a", "2024-12-15 19:15:25")</x:f>
      </x:c>
      <x:c r="G281" s="5">
        <x:v>0.0</x:v>
      </x:c>
      <x:c r="H281" s="5">
        <x:v>1.2336938023620824E11</x:v>
      </x:c>
      <x:c r="I281" s="5">
        <x:v>1.233623445739983E11</x:v>
      </x:c>
      <x:c r="J281" s="5">
        <x:v>1.233623445739983</x:v>
      </x:c>
      <x:c r="K281" s="5">
        <x:v>7035662.209922714</x:v>
      </x:c>
      <x:c r="L281" s="4" t="e">
        <x:f>HYPERLINK("https://scan.mypinata.cloud/ipfs/bafybeih3olry3is4e4lzm7rus5l3h6zrphcal5a7ayfkhzm5oivjro2cp4/#/tx/0x2748cf5d6283ce0b6d1d3e2192c316031af8ecb8efcab0350f010d01e011a558", "2025-02-02 15:31:15")</x:f>
      </x:c>
      <x:c r="M281" s="4" t="e">
        <x:f>HYPERLINK("https://scan.mypinata.cloud/ipfs/bafybeih3olry3is4e4lzm7rus5l3h6zrphcal5a7ayfkhzm5oivjro2cp4/#/tx/0x094f005a19529f0825cf450ad0149fa56c60fc7902366017a16a8135d7c04195", "2025-02-27 12:06:05")</x:f>
      </x:c>
      <x:c r="N281" s="2" t="e">
        <x:f>IFERROR(__xludf.DUMMYFUNCTION("IF(ISDATE(TO_DATE(L281)), MAX(0, ROUND(TODAY() - TO_DATE(L281)), 0), ""-"")"),515.0)</x:f>
      </x:c>
      <x:c r="O281" s="2" t="e">
        <x:f>IFERROR(__xludf.DUMMYFUNCTION("IF(ISDATE(TO_DATE(M281)), MAX(0, ROUND(TODAY() - TO_DATE(M281)), 0), ""-"")"),490.0)</x:f>
      </x:c>
      <x:c r="P281" s="6">
        <x:v>7.567E-7</x:v>
      </x:c>
      <x:c r="Q281" s="6">
        <x:v>0.01923</x:v>
      </x:c>
      <x:c r="R281" s="7">
        <x:v>93353.61002473877</x:v>
      </x:c>
      <x:c r="S281" s="7">
        <x:v>93354.0</x:v>
      </x:c>
      <x:c r="T281" s="7">
        <x:v>5421.030000000001</x:v>
      </x:c>
      <x:c r="U281" s="7">
        <x:v>22013.14</x:v>
      </x:c>
      <x:c r="V281" s="2" t="s">
        <x:v>28</x:v>
      </x:c>
      <x:c r="W281" s="2" t="s">
        <x:v>28</x:v>
      </x:c>
      <x:c r="X281" s="2" t="s">
        <x:v>28</x:v>
      </x:c>
      <x:c r="Y281" s="2" t="s">
        <x:v>28</x:v>
      </x:c>
      <x:c r="Z281" s="9" t="s">
        <x:v>616</x:v>
      </x:c>
      <x:c r="AA281" s="60" t="str">
        <x:v>Snapshot only — run GitHub workflow</x:v>
      </x:c>
      <x:c r="AB281" s="61" t="str">
        <x:f>IFERROR(H281/G281,"")</x:f>
      </x:c>
      <x:c r="AC281" s="60" t="str"/>
      <x:c r="AD281" s="60" t="str"/>
      <x:c r="AE281" s="60" t="str"/>
      <x:c r="AF281" s="60" t="str"/>
    </x:row>
    <x:row r="282" ht="15.75" customHeight="1">
      <x:c r="A282" s="11" t="s">
        <x:v>617</x:v>
      </x:c>
      <x:c r="B282" s="2" t="s">
        <x:v>618</x:v>
      </x:c>
      <x:c r="C282" s="3" t="e">
        <x:f>HYPERLINK("https://scan.mypinata.cloud/ipfs/bafybeih3olry3is4e4lzm7rus5l3h6zrphcal5a7ayfkhzm5oivjro2cp4/#/address/0x1a4E22af07f52A1E68C908ff077fef183A50EBe3", "0x1a4E22af07f52A1E68C908ff077fef183A50EBe3")</x:f>
      </x:c>
      <x:c r="D282" s="4" t="str">
        <x:f t="shared" si="17"/>
        <x:v>Atropa Dev Multiverse</x:v>
      </x:c>
      <x:c r="E282" s="4" t="e">
        <x:f>HYPERLINK("https://scan.mypinata.cloud/ipfs/bafybeih3olry3is4e4lzm7rus5l3h6zrphcal5a7ayfkhzm5oivjro2cp4/#/block/22201442", "22201442")</x:f>
      </x:c>
      <x:c r="F282" s="4" t="e">
        <x:f>HYPERLINK("https://scan.mypinata.cloud/ipfs/bafybeih3olry3is4e4lzm7rus5l3h6zrphcal5a7ayfkhzm5oivjro2cp4/#/tx/0x99d2723d8df6ffe376fd3e19c266b26e25306fec630f7834199bc19ef3314180", "2024-12-16 16:06:05")</x:f>
      </x:c>
      <x:c r="G282" s="5">
        <x:v>1.111111111E9</x:v>
      </x:c>
      <x:c r="H282" s="5">
        <x:v>1.134026783E9</x:v>
      </x:c>
      <x:c r="I282" s="5">
        <x:v>1.134026783E9</x:v>
      </x:c>
      <x:c r="J282" s="5">
        <x:v>2.2915672E7</x:v>
      </x:c>
      <x:c r="K282" s="5">
        <x:v>0.0</x:v>
      </x:c>
      <x:c r="L282" s="4" t="e">
        <x:f>HYPERLINK("https://scan.mypinata.cloud/ipfs/bafybeih3olry3is4e4lzm7rus5l3h6zrphcal5a7ayfkhzm5oivjro2cp4/#/tx/0x2c1c575a3e3e15e78c871f913c81c85b913a744f4f1c1f10f86ee303ee63fad6", "2025-02-27 12:47:35")</x:f>
      </x:c>
      <x:c r="M282" s="2" t="s">
        <x:v>28</x:v>
      </x:c>
      <x:c r="N282" s="2" t="e">
        <x:f>IFERROR(__xludf.DUMMYFUNCTION("IF(ISDATE(TO_DATE(L282)), MAX(0, ROUND(TODAY() - TO_DATE(L282)), 0), ""-"")"),490.0)</x:f>
      </x:c>
      <x:c r="O282" s="2" t="e">
        <x:f>IFERROR(__xludf.DUMMYFUNCTION("IF(ISDATE(TO_DATE(M282)), MAX(0, ROUND(TODAY() - TO_DATE(M282)), 0), ""-"")"),"-")</x:f>
      </x:c>
      <x:c r="P282" s="6">
        <x:v>0.001018</x:v>
      </x:c>
      <x:c r="Q282" s="6">
        <x:v>26.4245</x:v>
      </x:c>
      <x:c r="R282" s="7">
        <x:v>1154248.288294</x:v>
      </x:c>
      <x:c r="S282" s="7">
        <x:v>1155005.0</x:v>
      </x:c>
      <x:c r="T282" s="7">
        <x:v>2011.1000000000001</x:v>
      </x:c>
      <x:c r="U282" s="7">
        <x:v>215698.33</x:v>
      </x:c>
      <x:c r="V282" s="2" t="s">
        <x:v>28</x:v>
      </x:c>
      <x:c r="W282" s="2" t="s">
        <x:v>28</x:v>
      </x:c>
      <x:c r="X282" s="2" t="s">
        <x:v>28</x:v>
      </x:c>
      <x:c r="Y282" s="2" t="s">
        <x:v>28</x:v>
      </x:c>
      <x:c r="Z282" s="9" t="s">
        <x:v>619</x:v>
      </x:c>
      <x:c r="AA282" s="60" t="str">
        <x:v>Snapshot only — run GitHub workflow</x:v>
      </x:c>
      <x:c r="AB282" s="61" t="n">
        <x:f>IFERROR(H282/G282,"")</x:f>
        <x:v>1.0206241048020623</x:v>
      </x:c>
      <x:c r="AC282" s="60" t="str"/>
      <x:c r="AD282" s="60" t="str"/>
      <x:c r="AE282" s="60" t="str"/>
      <x:c r="AF282" s="60" t="str"/>
    </x:row>
    <x:row r="283" ht="15.75" customHeight="1">
      <x:c r="A283" s="11" t="s">
        <x:v>620</x:v>
      </x:c>
      <x:c r="B283" s="2" t="s">
        <x:v>621</x:v>
      </x:c>
      <x:c r="C283" s="3" t="e">
        <x:f>HYPERLINK("https://scan.mypinata.cloud/ipfs/bafybeih3olry3is4e4lzm7rus5l3h6zrphcal5a7ayfkhzm5oivjro2cp4/#/address/0xC26c78d6cb95e58228544462DD6e9a02868B1306", "0xC26c78d6cb95e58228544462DD6e9a02868B1306")</x:f>
      </x:c>
      <x:c r="D283" s="4" t="str">
        <x:f t="shared" si="17"/>
        <x:v>Atropa Dev Multiverse</x:v>
      </x:c>
      <x:c r="E283" s="4" t="e">
        <x:f>HYPERLINK("https://scan.mypinata.cloud/ipfs/bafybeih3olry3is4e4lzm7rus5l3h6zrphcal5a7ayfkhzm5oivjro2cp4/#/block/22201469", "22201469")</x:f>
      </x:c>
      <x:c r="F283" s="4" t="e">
        <x:f>HYPERLINK("https://scan.mypinata.cloud/ipfs/bafybeih3olry3is4e4lzm7rus5l3h6zrphcal5a7ayfkhzm5oivjro2cp4/#/tx/0x45872774dc9f538688c24cc7a52dbf33b15f91773e4bc3b0fdb373ed4b054d14", "2024-12-16 16:10:35")</x:f>
      </x:c>
      <x:c r="G283" s="5">
        <x:v>111.0</x:v>
      </x:c>
      <x:c r="H283" s="5">
        <x:v>832125.6353421486</x:v>
      </x:c>
      <x:c r="I283" s="5">
        <x:v>831125.6353421486</x:v>
      </x:c>
      <x:c r="J283" s="5">
        <x:v>831014.6353421486</x:v>
      </x:c>
      <x:c r="K283" s="10" t="s">
        <x:v>622</x:v>
      </x:c>
      <x:c r="L283" s="4" t="e">
        <x:f>HYPERLINK("https://scan.mypinata.cloud/ipfs/bafybeih3olry3is4e4lzm7rus5l3h6zrphcal5a7ayfkhzm5oivjro2cp4/#/tx/0x52a54364a931ec109ab673cac708a82a6fe20f01fedf0a26867e65b5d46dc321", "2025-02-26 12:33:35")</x:f>
      </x:c>
      <x:c r="M283" s="4" t="e">
        <x:f>HYPERLINK("https://scan.mypinata.cloud/ipfs/bafybeih3olry3is4e4lzm7rus5l3h6zrphcal5a7ayfkhzm5oivjro2cp4/#/tx/0x81994d1efa333b45ec886bd7d9a82a56e67f8c045556f343ba421f401076a669", "2024-12-19 11:06:25")</x:f>
      </x:c>
      <x:c r="N283" s="2" t="e">
        <x:f>IFERROR(__xludf.DUMMYFUNCTION("IF(ISDATE(TO_DATE(L283)), MAX(0, ROUND(TODAY() - TO_DATE(L283)), 0), ""-"")"),491.0)</x:f>
      </x:c>
      <x:c r="O283" s="2" t="e">
        <x:f>IFERROR(__xludf.DUMMYFUNCTION("IF(ISDATE(TO_DATE(M283)), MAX(0, ROUND(TODAY() - TO_DATE(M283)), 0), ""-"")"),561.0)</x:f>
      </x:c>
      <x:c r="P283" s="6">
        <x:v>0.001103</x:v>
      </x:c>
      <x:c r="Q283" s="6">
        <x:v>27.9076</x:v>
      </x:c>
      <x:c r="R283" s="7">
        <x:v>917.83457578239</x:v>
      </x:c>
      <x:c r="S283" s="7">
        <x:v>915.0</x:v>
      </x:c>
      <x:c r="T283" s="7">
        <x:v>13.36</x:v>
      </x:c>
      <x:c r="U283" s="7">
        <x:v>647.74</x:v>
      </x:c>
      <x:c r="V283" s="2" t="s">
        <x:v>28</x:v>
      </x:c>
      <x:c r="W283" s="2" t="s">
        <x:v>28</x:v>
      </x:c>
      <x:c r="X283" s="2" t="s">
        <x:v>28</x:v>
      </x:c>
      <x:c r="Y283" s="2" t="s">
        <x:v>28</x:v>
      </x:c>
      <x:c r="Z283" s="9" t="s">
        <x:v>623</x:v>
      </x:c>
      <x:c r="AA283" s="60" t="str">
        <x:v>Snapshot only — run GitHub workflow</x:v>
      </x:c>
      <x:c r="AB283" s="61" t="n">
        <x:f>IFERROR(H283/G283,"")</x:f>
        <x:v>7496.627345424762</x:v>
      </x:c>
      <x:c r="AC283" s="60" t="str"/>
      <x:c r="AD283" s="60" t="str"/>
      <x:c r="AE283" s="60" t="str"/>
      <x:c r="AF283" s="60" t="str"/>
    </x:row>
    <x:row r="284" ht="15.75" customHeight="1">
      <x:c r="A284" s="2" t="s">
        <x:v>624</x:v>
      </x:c>
      <x:c r="B284" s="2" t="s">
        <x:v>625</x:v>
      </x:c>
      <x:c r="C284" s="3" t="e">
        <x:f>HYPERLINK("https://scan.mypinata.cloud/ipfs/bafybeih3olry3is4e4lzm7rus5l3h6zrphcal5a7ayfkhzm5oivjro2cp4/#/address/0x1fF493D1eCa7041099f2ccA0adCAD5902E506162", "0x1fF493D1eCa7041099f2ccA0adCAD5902E506162")</x:f>
      </x:c>
      <x:c r="D284" s="4" t="str">
        <x:f t="shared" si="17"/>
        <x:v>Atropa Dev Multiverse</x:v>
      </x:c>
      <x:c r="E284" s="4" t="e">
        <x:f>HYPERLINK("https://scan.mypinata.cloud/ipfs/bafybeih3olry3is4e4lzm7rus5l3h6zrphcal5a7ayfkhzm5oivjro2cp4/#/block/22211648", "22211648")</x:f>
      </x:c>
      <x:c r="F284" s="4" t="e">
        <x:f>HYPERLINK("https://scan.mypinata.cloud/ipfs/bafybeih3olry3is4e4lzm7rus5l3h6zrphcal5a7ayfkhzm5oivjro2cp4/#/tx/0xee8bc43ad1ab18a4b9ac47d6ac49e125401df8b0ce83aa5948044bbf6fe8302c", "2024-12-17 21:17:15")</x:f>
      </x:c>
      <x:c r="G284" s="5">
        <x:v>555.0</x:v>
      </x:c>
      <x:c r="H284" s="5">
        <x:v>156055.0</x:v>
      </x:c>
      <x:c r="I284" s="5">
        <x:v>156055.0</x:v>
      </x:c>
      <x:c r="J284" s="5">
        <x:v>155500.0</x:v>
      </x:c>
      <x:c r="K284" s="5">
        <x:v>0.0</x:v>
      </x:c>
      <x:c r="L284" s="4" t="e">
        <x:f>HYPERLINK("https://scan.mypinata.cloud/ipfs/bafybeih3olry3is4e4lzm7rus5l3h6zrphcal5a7ayfkhzm5oivjro2cp4/#/tx/0x6f416656680c9a7f971f30bb2bcc4b4084d460352f2dd88696280846045ab8b2", "2024-12-23 14:45:45")</x:f>
      </x:c>
      <x:c r="M284" s="2" t="s">
        <x:v>28</x:v>
      </x:c>
      <x:c r="N284" s="2" t="e">
        <x:f>IFERROR(__xludf.DUMMYFUNCTION("IF(ISDATE(TO_DATE(L284)), MAX(0, ROUND(TODAY() - TO_DATE(L284)), 0), ""-"")"),556.0)</x:f>
      </x:c>
      <x:c r="O284" s="2" t="e">
        <x:f>IFERROR(__xludf.DUMMYFUNCTION("IF(ISDATE(TO_DATE(M284)), MAX(0, ROUND(TODAY() - TO_DATE(M284)), 0), ""-"")"),"-")</x:f>
      </x:c>
      <x:c r="P284" s="2" t="s">
        <x:v>28</x:v>
      </x:c>
      <x:c r="Q284" s="2" t="s">
        <x:v>28</x:v>
      </x:c>
      <x:c r="R284" s="2" t="s">
        <x:v>28</x:v>
      </x:c>
      <x:c r="S284" s="2" t="s">
        <x:v>28</x:v>
      </x:c>
      <x:c r="T284" s="2" t="s">
        <x:v>28</x:v>
      </x:c>
      <x:c r="U284" s="2" t="s">
        <x:v>28</x:v>
      </x:c>
      <x:c r="V284" s="2" t="s">
        <x:v>28</x:v>
      </x:c>
      <x:c r="W284" s="2" t="s">
        <x:v>28</x:v>
      </x:c>
      <x:c r="X284" s="2" t="s">
        <x:v>28</x:v>
      </x:c>
      <x:c r="Y284" s="2" t="s">
        <x:v>28</x:v>
      </x:c>
      <x:c r="Z284" s="9" t="s">
        <x:v>626</x:v>
      </x:c>
      <x:c r="AA284" s="60" t="str">
        <x:v>Snapshot only — run GitHub workflow</x:v>
      </x:c>
      <x:c r="AB284" s="61" t="n">
        <x:f>IFERROR(H284/G284,"")</x:f>
        <x:v>281.1801801801802</x:v>
      </x:c>
      <x:c r="AC284" s="60" t="str"/>
      <x:c r="AD284" s="60" t="str"/>
      <x:c r="AE284" s="60" t="str"/>
      <x:c r="AF284" s="60" t="str"/>
    </x:row>
    <x:row r="285" ht="15.75" customHeight="1">
      <x:c r="A285" s="12" t="s">
        <x:v>627</x:v>
      </x:c>
      <x:c r="B285" s="12" t="s">
        <x:v>628</x:v>
      </x:c>
      <x:c r="C285" s="13" t="e">
        <x:f>HYPERLINK("https://scan.mypinata.cloud/ipfs/bafybeih3olry3is4e4lzm7rus5l3h6zrphcal5a7ayfkhzm5oivjro2cp4/#/address/0x9047fAd9598963B031172372196Bd307F048DdE3", "0x9047fAd9598963B031172372196Bd307F048DdE3")</x:f>
      </x:c>
      <x:c r="D285" s="14" t="str">
        <x:f t="shared" si="17"/>
        <x:v>Atropa Dev Multiverse</x:v>
      </x:c>
      <x:c r="E285" s="14" t="e">
        <x:f>HYPERLINK("https://scan.mypinata.cloud/ipfs/bafybeih3olry3is4e4lzm7rus5l3h6zrphcal5a7ayfkhzm5oivjro2cp4/#/block/22211650", "22211650")</x:f>
      </x:c>
      <x:c r="F285" s="14" t="e">
        <x:f>HYPERLINK("https://scan.mypinata.cloud/ipfs/bafybeih3olry3is4e4lzm7rus5l3h6zrphcal5a7ayfkhzm5oivjro2cp4/#/tx/0xc0ee91620eba94c9988f1b995bd2254e78b9c9dec93d98efbbe59e1aba524631", "2024-12-17 21:17:35")</x:f>
      </x:c>
      <x:c r="G285" s="15">
        <x:v>111.0</x:v>
      </x:c>
      <x:c r="H285" s="15">
        <x:v>190270.46412118318</x:v>
      </x:c>
      <x:c r="I285" s="15">
        <x:v>190270.46412118318</x:v>
      </x:c>
      <x:c r="J285" s="15">
        <x:v>190159.46412118318</x:v>
      </x:c>
      <x:c r="K285" s="15">
        <x:v>0.0</x:v>
      </x:c>
      <x:c r="L285" s="14" t="e">
        <x:f>HYPERLINK("https://scan.mypinata.cloud/ipfs/bafybeih3olry3is4e4lzm7rus5l3h6zrphcal5a7ayfkhzm5oivjro2cp4/#/tx/0xbcab9d3989f38a2f0bbec292e2d8db152773843591dca4d812f30a4abfee8db3", "2025-02-22 17:22:15")</x:f>
      </x:c>
      <x:c r="M285" s="16" t="s">
        <x:v>28</x:v>
      </x:c>
      <x:c r="N285" s="16" t="e">
        <x:f>IFERROR(__xludf.DUMMYFUNCTION("IF(ISDATE(TO_DATE(L285)), MAX(0, ROUND(TODAY() - TO_DATE(L285)), 0), ""-"")"),495.0)</x:f>
      </x:c>
      <x:c r="O285" s="16" t="e">
        <x:f>IFERROR(__xludf.DUMMYFUNCTION("IF(ISDATE(TO_DATE(M285)), MAX(0, ROUND(TODAY() - TO_DATE(M285)), 0), ""-"")"),"-")</x:f>
      </x:c>
      <x:c r="P285" s="16" t="s">
        <x:v>28</x:v>
      </x:c>
      <x:c r="Q285" s="16" t="s">
        <x:v>28</x:v>
      </x:c>
      <x:c r="R285" s="16" t="s">
        <x:v>28</x:v>
      </x:c>
      <x:c r="S285" s="16" t="s">
        <x:v>28</x:v>
      </x:c>
      <x:c r="T285" s="16" t="s">
        <x:v>28</x:v>
      </x:c>
      <x:c r="U285" s="16" t="s">
        <x:v>28</x:v>
      </x:c>
      <x:c r="V285" s="16" t="s">
        <x:v>28</x:v>
      </x:c>
      <x:c r="W285" s="16" t="s">
        <x:v>28</x:v>
      </x:c>
      <x:c r="X285" s="16" t="s">
        <x:v>28</x:v>
      </x:c>
      <x:c r="Y285" s="16" t="s">
        <x:v>28</x:v>
      </x:c>
      <x:c r="Z285" s="19" t="s">
        <x:v>626</x:v>
      </x:c>
      <x:c r="AA285" s="60" t="str">
        <x:v>Snapshot only — run GitHub workflow</x:v>
      </x:c>
      <x:c r="AB285" s="61" t="n">
        <x:f>IFERROR(H285/G285,"")</x:f>
        <x:v>1714.1483254160646</x:v>
      </x:c>
      <x:c r="AC285" s="60" t="str"/>
      <x:c r="AD285" s="60" t="str"/>
      <x:c r="AE285" s="60" t="str"/>
      <x:c r="AF285" s="60" t="str"/>
    </x:row>
    <x:row r="286" ht="15.75" customHeight="1">
      <x:c r="A286" s="12" t="s">
        <x:v>629</x:v>
      </x:c>
      <x:c r="B286" s="12" t="s">
        <x:v>630</x:v>
      </x:c>
      <x:c r="C286" s="13" t="e">
        <x:f>HYPERLINK("https://scan.mypinata.cloud/ipfs/bafybeih3olry3is4e4lzm7rus5l3h6zrphcal5a7ayfkhzm5oivjro2cp4/#/address/0x3E8A9D55Db391751A381D0C3822f727Ea81DbDda", "0x3E8A9D55Db391751A381D0C3822f727Ea81DbDda")</x:f>
      </x:c>
      <x:c r="D286" s="14" t="str">
        <x:f t="shared" si="17"/>
        <x:v>Atropa Dev Multiverse</x:v>
      </x:c>
      <x:c r="E286" s="14" t="e">
        <x:f>HYPERLINK("https://scan.mypinata.cloud/ipfs/bafybeih3olry3is4e4lzm7rus5l3h6zrphcal5a7ayfkhzm5oivjro2cp4/#/block/22212638", "22212638")</x:f>
      </x:c>
      <x:c r="F286" s="14" t="e">
        <x:f>HYPERLINK("https://scan.mypinata.cloud/ipfs/bafybeih3olry3is4e4lzm7rus5l3h6zrphcal5a7ayfkhzm5oivjro2cp4/#/tx/0x924d421a2a163ad4a0a7406237b883b37fbfb9703ed605e3bfd42630c3229806", "2024-12-18 00:07:25")</x:f>
      </x:c>
      <x:c r="G286" s="15">
        <x:v>999.0</x:v>
      </x:c>
      <x:c r="H286" s="15">
        <x:v>66299.0</x:v>
      </x:c>
      <x:c r="I286" s="15">
        <x:v>65299.0</x:v>
      </x:c>
      <x:c r="J286" s="15">
        <x:v>64300.0</x:v>
      </x:c>
      <x:c r="K286" s="15">
        <x:v>0.0</x:v>
      </x:c>
      <x:c r="L286" s="14" t="e">
        <x:f>HYPERLINK("https://scan.mypinata.cloud/ipfs/bafybeih3olry3is4e4lzm7rus5l3h6zrphcal5a7ayfkhzm5oivjro2cp4/#/tx/0xc696e53681ba508e19ceaeaaeae1cb66da985218b3358c5e3ba0ef15b44ae00e", "2025-02-02 09:26:05")</x:f>
      </x:c>
      <x:c r="M286" s="16" t="s">
        <x:v>28</x:v>
      </x:c>
      <x:c r="N286" s="16" t="e">
        <x:f>IFERROR(__xludf.DUMMYFUNCTION("IF(ISDATE(TO_DATE(L286)), MAX(0, ROUND(TODAY() - TO_DATE(L286)), 0), ""-"")"),516.0)</x:f>
      </x:c>
      <x:c r="O286" s="16" t="e">
        <x:f>IFERROR(__xludf.DUMMYFUNCTION("IF(ISDATE(TO_DATE(M286)), MAX(0, ROUND(TODAY() - TO_DATE(M286)), 0), ""-"")"),"-")</x:f>
      </x:c>
      <x:c r="P286" s="16" t="s">
        <x:v>28</x:v>
      </x:c>
      <x:c r="Q286" s="16" t="s">
        <x:v>28</x:v>
      </x:c>
      <x:c r="R286" s="16" t="s">
        <x:v>28</x:v>
      </x:c>
      <x:c r="S286" s="16" t="s">
        <x:v>28</x:v>
      </x:c>
      <x:c r="T286" s="16" t="s">
        <x:v>28</x:v>
      </x:c>
      <x:c r="U286" s="16" t="s">
        <x:v>28</x:v>
      </x:c>
      <x:c r="V286" s="16" t="s">
        <x:v>28</x:v>
      </x:c>
      <x:c r="W286" s="16" t="s">
        <x:v>28</x:v>
      </x:c>
      <x:c r="X286" s="16" t="s">
        <x:v>28</x:v>
      </x:c>
      <x:c r="Y286" s="16" t="s">
        <x:v>28</x:v>
      </x:c>
      <x:c r="Z286" s="19" t="s">
        <x:v>626</x:v>
      </x:c>
      <x:c r="AA286" s="60" t="str">
        <x:v>Snapshot only — run GitHub workflow</x:v>
      </x:c>
      <x:c r="AB286" s="61" t="n">
        <x:f>IFERROR(H286/G286,"")</x:f>
        <x:v>66.36536536536536</x:v>
      </x:c>
      <x:c r="AC286" s="60" t="str"/>
      <x:c r="AD286" s="60" t="str"/>
      <x:c r="AE286" s="60" t="str"/>
      <x:c r="AF286" s="60" t="str"/>
    </x:row>
    <x:row r="287" ht="15.75" customHeight="1">
      <x:c r="A287" s="2" t="s">
        <x:v>631</x:v>
      </x:c>
      <x:c r="B287" s="2" t="s">
        <x:v>632</x:v>
      </x:c>
      <x:c r="C287" s="3" t="e">
        <x:f>HYPERLINK("https://scan.mypinata.cloud/ipfs/bafybeih3olry3is4e4lzm7rus5l3h6zrphcal5a7ayfkhzm5oivjro2cp4/#/address/0x0EcC1089cd0635dE892D2937c5DAe3d437aF6B0c", "0x0EcC1089cd0635dE892D2937c5DAe3d437aF6B0c")</x:f>
      </x:c>
      <x:c r="D287" s="4" t="str">
        <x:f t="shared" si="17"/>
        <x:v>Atropa Dev Multiverse</x:v>
      </x:c>
      <x:c r="E287" s="4" t="e">
        <x:f>HYPERLINK("https://scan.mypinata.cloud/ipfs/bafybeih3olry3is4e4lzm7rus5l3h6zrphcal5a7ayfkhzm5oivjro2cp4/#/block/22212654", "22212654")</x:f>
      </x:c>
      <x:c r="F287" s="4" t="e">
        <x:f>HYPERLINK("https://scan.mypinata.cloud/ipfs/bafybeih3olry3is4e4lzm7rus5l3h6zrphcal5a7ayfkhzm5oivjro2cp4/#/tx/0xba6ea363d9541cf4127ba9bdc252fea46a710018f0cbb9eace34a61fc66fdd67", "2024-12-18 00:10:05")</x:f>
      </x:c>
      <x:c r="G287" s="5">
        <x:v>999.0</x:v>
      </x:c>
      <x:c r="H287" s="5">
        <x:v>7.783315190018E7</x:v>
      </x:c>
      <x:c r="I287" s="5">
        <x:v>7.783315190018E7</x:v>
      </x:c>
      <x:c r="J287" s="5">
        <x:v>7.783215290018E7</x:v>
      </x:c>
      <x:c r="K287" s="10" t="s">
        <x:v>633</x:v>
      </x:c>
      <x:c r="L287" s="4" t="e">
        <x:f>HYPERLINK("https://scan.mypinata.cloud/ipfs/bafybeih3olry3is4e4lzm7rus5l3h6zrphcal5a7ayfkhzm5oivjro2cp4/#/tx/0xfc86300422871eea852be9be289f9b0faff277939ef09ddabc558fccbf71db14", "2025-02-25 10:49:25")</x:f>
      </x:c>
      <x:c r="M287" s="4" t="e">
        <x:f>HYPERLINK("https://scan.mypinata.cloud/ipfs/bafybeih3olry3is4e4lzm7rus5l3h6zrphcal5a7ayfkhzm5oivjro2cp4/#/tx/0x208c81528cb88b0ff73d7bded08762854f754992fb19b3a9419671e2c37f4fa9", "2024-12-18 05:03:15")</x:f>
      </x:c>
      <x:c r="N287" s="2" t="e">
        <x:f>IFERROR(__xludf.DUMMYFUNCTION("IF(ISDATE(TO_DATE(L287)), MAX(0, ROUND(TODAY() - TO_DATE(L287)), 0), ""-"")"),493.0)</x:f>
      </x:c>
      <x:c r="O287" s="2" t="e">
        <x:f>IFERROR(__xludf.DUMMYFUNCTION("IF(ISDATE(TO_DATE(M287)), MAX(0, ROUND(TODAY() - TO_DATE(M287)), 0), ""-"")"),562.0)</x:f>
      </x:c>
      <x:c r="P287" s="2" t="s">
        <x:v>28</x:v>
      </x:c>
      <x:c r="Q287" s="2" t="s">
        <x:v>28</x:v>
      </x:c>
      <x:c r="R287" s="2" t="s">
        <x:v>28</x:v>
      </x:c>
      <x:c r="S287" s="2" t="s">
        <x:v>28</x:v>
      </x:c>
      <x:c r="T287" s="7">
        <x:v>97.28</x:v>
      </x:c>
      <x:c r="U287" s="7">
        <x:v>53408.85</x:v>
      </x:c>
      <x:c r="V287" s="2" t="s">
        <x:v>28</x:v>
      </x:c>
      <x:c r="W287" s="2" t="s">
        <x:v>28</x:v>
      </x:c>
      <x:c r="X287" s="2" t="s">
        <x:v>28</x:v>
      </x:c>
      <x:c r="Y287" s="2" t="s">
        <x:v>28</x:v>
      </x:c>
      <x:c r="Z287" s="9" t="s">
        <x:v>634</x:v>
      </x:c>
      <x:c r="AA287" s="60" t="str">
        <x:v>Snapshot only — run GitHub workflow</x:v>
      </x:c>
      <x:c r="AB287" s="61" t="n">
        <x:f>IFERROR(H287/G287,"")</x:f>
        <x:v>77911.06296314314</x:v>
      </x:c>
      <x:c r="AC287" s="60" t="str"/>
      <x:c r="AD287" s="60" t="str"/>
      <x:c r="AE287" s="60" t="str"/>
      <x:c r="AF287" s="60" t="str"/>
    </x:row>
    <x:row r="288" ht="15.75" customHeight="1">
      <x:c r="A288" s="2" t="s">
        <x:v>635</x:v>
      </x:c>
      <x:c r="B288" s="2" t="s">
        <x:v>636</x:v>
      </x:c>
      <x:c r="C288" s="3" t="e">
        <x:f>HYPERLINK("https://scan.mypinata.cloud/ipfs/bafybeih3olry3is4e4lzm7rus5l3h6zrphcal5a7ayfkhzm5oivjro2cp4/#/address/0xB493edFBa13CE0692F0C37B6A1CCBA6983D25E06", "0xB493edFBa13CE0692F0C37B6A1CCBA6983D25E06")</x:f>
      </x:c>
      <x:c r="D288" s="4" t="str">
        <x:f t="shared" si="17"/>
        <x:v>Atropa Dev Multiverse</x:v>
      </x:c>
      <x:c r="E288" s="4" t="e">
        <x:f>HYPERLINK("https://scan.mypinata.cloud/ipfs/bafybeih3olry3is4e4lzm7rus5l3h6zrphcal5a7ayfkhzm5oivjro2cp4/#/block/22212678", "22212678")</x:f>
      </x:c>
      <x:c r="F288" s="4" t="e">
        <x:f>HYPERLINK("https://scan.mypinata.cloud/ipfs/bafybeih3olry3is4e4lzm7rus5l3h6zrphcal5a7ayfkhzm5oivjro2cp4/#/tx/0x9d0deb35bb4f4348d0173ac1e3f122b30216446dae83967ba02c1acbab8e0ded", "2024-12-18 00:14:15")</x:f>
      </x:c>
      <x:c r="G288" s="5">
        <x:v>666.0</x:v>
      </x:c>
      <x:c r="H288" s="5">
        <x:v>251100.0</x:v>
      </x:c>
      <x:c r="I288" s="5">
        <x:v>251100.0</x:v>
      </x:c>
      <x:c r="J288" s="5">
        <x:v>250434.0</x:v>
      </x:c>
      <x:c r="K288" s="5">
        <x:v>0.0</x:v>
      </x:c>
      <x:c r="L288" s="4" t="e">
        <x:f>HYPERLINK("https://scan.mypinata.cloud/ipfs/bafybeih3olry3is4e4lzm7rus5l3h6zrphcal5a7ayfkhzm5oivjro2cp4/#/tx/0xa6cb55f9324b801761820fbbb5c0b3a38459fd369cf1ae83b9b1b2a8e0bd0612", "2025-02-22 20:17:55")</x:f>
      </x:c>
      <x:c r="M288" s="2" t="s">
        <x:v>28</x:v>
      </x:c>
      <x:c r="N288" s="2" t="e">
        <x:f>IFERROR(__xludf.DUMMYFUNCTION("IF(ISDATE(TO_DATE(L288)), MAX(0, ROUND(TODAY() - TO_DATE(L288)), 0), ""-"")"),495.0)</x:f>
      </x:c>
      <x:c r="O288" s="2" t="e">
        <x:f>IFERROR(__xludf.DUMMYFUNCTION("IF(ISDATE(TO_DATE(M288)), MAX(0, ROUND(TODAY() - TO_DATE(M288)), 0), ""-"")"),"-")</x:f>
      </x:c>
      <x:c r="P288" s="2" t="s">
        <x:v>28</x:v>
      </x:c>
      <x:c r="Q288" s="2" t="s">
        <x:v>28</x:v>
      </x:c>
      <x:c r="R288" s="2" t="s">
        <x:v>28</x:v>
      </x:c>
      <x:c r="S288" s="2" t="s">
        <x:v>28</x:v>
      </x:c>
      <x:c r="T288" s="2" t="s">
        <x:v>28</x:v>
      </x:c>
      <x:c r="U288" s="2" t="s">
        <x:v>28</x:v>
      </x:c>
      <x:c r="V288" s="2" t="s">
        <x:v>28</x:v>
      </x:c>
      <x:c r="W288" s="2" t="s">
        <x:v>28</x:v>
      </x:c>
      <x:c r="X288" s="2" t="s">
        <x:v>28</x:v>
      </x:c>
      <x:c r="Y288" s="2" t="s">
        <x:v>28</x:v>
      </x:c>
      <x:c r="Z288" s="9" t="s">
        <x:v>634</x:v>
      </x:c>
      <x:c r="AA288" s="60" t="str">
        <x:v>Snapshot only — run GitHub workflow</x:v>
      </x:c>
      <x:c r="AB288" s="61" t="n">
        <x:f>IFERROR(H288/G288,"")</x:f>
        <x:v>377.02702702702703</x:v>
      </x:c>
      <x:c r="AC288" s="60" t="str"/>
      <x:c r="AD288" s="60" t="str"/>
      <x:c r="AE288" s="60" t="str"/>
      <x:c r="AF288" s="60" t="str"/>
    </x:row>
    <x:row r="289" ht="15.75" customHeight="1">
      <x:c r="A289" s="12" t="s">
        <x:v>637</x:v>
      </x:c>
      <x:c r="B289" s="12" t="s">
        <x:v>638</x:v>
      </x:c>
      <x:c r="C289" s="13" t="e">
        <x:f>HYPERLINK("https://scan.mypinata.cloud/ipfs/bafybeih3olry3is4e4lzm7rus5l3h6zrphcal5a7ayfkhzm5oivjro2cp4/#/address/0xAefB058bd268bdb0764f66e810A57D29ff6438D6", "0xAefB058bd268bdb0764f66e810A57D29ff6438D6")</x:f>
      </x:c>
      <x:c r="D289" s="14" t="str">
        <x:f t="shared" si="17"/>
        <x:v>Atropa Dev Multiverse</x:v>
      </x:c>
      <x:c r="E289" s="14" t="e">
        <x:f>HYPERLINK("https://scan.mypinata.cloud/ipfs/bafybeih3olry3is4e4lzm7rus5l3h6zrphcal5a7ayfkhzm5oivjro2cp4/#/block/22270031", "22270031")</x:f>
      </x:c>
      <x:c r="F289" s="14" t="e">
        <x:f>HYPERLINK("https://scan.mypinata.cloud/ipfs/bafybeih3olry3is4e4lzm7rus5l3h6zrphcal5a7ayfkhzm5oivjro2cp4/#/tx/0x0e3b4df5409755e0f70bb68f465863abf0acd5f7a66662aaf6c7c195d3594951", "2024-12-24 18:39:45")</x:f>
      </x:c>
      <x:c r="G289" s="15">
        <x:v>111111.0</x:v>
      </x:c>
      <x:c r="H289" s="15">
        <x:v>132915.69</x:v>
      </x:c>
      <x:c r="I289" s="15">
        <x:v>131365.69</x:v>
      </x:c>
      <x:c r="J289" s="15">
        <x:v>20279.0</x:v>
      </x:c>
      <x:c r="K289" s="15">
        <x:v>24.310000000000002</x:v>
      </x:c>
      <x:c r="L289" s="14" t="e">
        <x:f>HYPERLINK("https://scan.mypinata.cloud/ipfs/bafybeih3olry3is4e4lzm7rus5l3h6zrphcal5a7ayfkhzm5oivjro2cp4/#/tx/0x72be750964e7ae143bc4a3e7111acf80501ac477f9dbce47384cc7d14d221bad", "2025-02-26 02:44:15")</x:f>
      </x:c>
      <x:c r="M289" s="14" t="e">
        <x:f>HYPERLINK("https://scan.mypinata.cloud/ipfs/bafybeih3olry3is4e4lzm7rus5l3h6zrphcal5a7ayfkhzm5oivjro2cp4/#/tx/0xd7bc74ca959a522a7249c14bd08c28072fda9a687c1bdcbbfa4779cbd1bd37d1", "2025-02-01 13:47:55")</x:f>
      </x:c>
      <x:c r="N289" s="16" t="e">
        <x:f>IFERROR(__xludf.DUMMYFUNCTION("IF(ISDATE(TO_DATE(L289)), MAX(0, ROUND(TODAY() - TO_DATE(L289)), 0), ""-"")"),492.0)</x:f>
      </x:c>
      <x:c r="O289" s="16" t="e">
        <x:f>IFERROR(__xludf.DUMMYFUNCTION("IF(ISDATE(TO_DATE(M289)), MAX(0, ROUND(TODAY() - TO_DATE(M289)), 0), ""-"")"),516.0)</x:f>
      </x:c>
      <x:c r="P289" s="17">
        <x:v>0.004993</x:v>
      </x:c>
      <x:c r="Q289" s="17">
        <x:v>124.792</x:v>
      </x:c>
      <x:c r="R289" s="18">
        <x:v>663.64804017</x:v>
      </x:c>
      <x:c r="S289" s="18">
        <x:v>664.0</x:v>
      </x:c>
      <x:c r="T289" s="18">
        <x:v>2.09</x:v>
      </x:c>
      <x:c r="U289" s="18">
        <x:v>115.26</x:v>
      </x:c>
      <x:c r="V289" s="16" t="s">
        <x:v>28</x:v>
      </x:c>
      <x:c r="W289" s="16" t="s">
        <x:v>28</x:v>
      </x:c>
      <x:c r="X289" s="16" t="s">
        <x:v>28</x:v>
      </x:c>
      <x:c r="Y289" s="16" t="s">
        <x:v>28</x:v>
      </x:c>
      <x:c r="Z289" s="19" t="s">
        <x:v>639</x:v>
      </x:c>
      <x:c r="AA289" s="60" t="str">
        <x:v>Snapshot only — run GitHub workflow</x:v>
      </x:c>
      <x:c r="AB289" s="61" t="n">
        <x:f>IFERROR(H289/G289,"")</x:f>
        <x:v>1.1962424062424062</x:v>
      </x:c>
      <x:c r="AC289" s="60" t="str"/>
      <x:c r="AD289" s="60" t="str"/>
      <x:c r="AE289" s="60" t="str"/>
      <x:c r="AF289" s="60" t="str"/>
    </x:row>
    <x:row r="290" ht="15.75" customHeight="1">
      <x:c r="A290" s="2" t="s">
        <x:v>640</x:v>
      </x:c>
      <x:c r="B290" s="2" t="s">
        <x:v>641</x:v>
      </x:c>
      <x:c r="C290" s="3" t="e">
        <x:f>HYPERLINK("https://scan.mypinata.cloud/ipfs/bafybeih3olry3is4e4lzm7rus5l3h6zrphcal5a7ayfkhzm5oivjro2cp4/#/address/0xeD52753272a291761a934b1398c14E0ffdAaEaa3", "0xeD52753272a291761a934b1398c14E0ffdAaEaa3")</x:f>
      </x:c>
      <x:c r="D290" s="4" t="str">
        <x:f t="shared" si="17"/>
        <x:v>Atropa Dev Multiverse</x:v>
      </x:c>
      <x:c r="E290" s="4" t="e">
        <x:f>HYPERLINK("https://scan.mypinata.cloud/ipfs/bafybeih3olry3is4e4lzm7rus5l3h6zrphcal5a7ayfkhzm5oivjro2cp4/#/block/22277821", "22277821")</x:f>
      </x:c>
      <x:c r="F290" s="4" t="e">
        <x:f>HYPERLINK("https://scan.mypinata.cloud/ipfs/bafybeih3olry3is4e4lzm7rus5l3h6zrphcal5a7ayfkhzm5oivjro2cp4/#/tx/0x40f5383f03cec6f55102d5f0346b7b0fcb71f7a9fc5c5951e6bb8424e3459f33", "2024-12-25 16:39:35")</x:f>
      </x:c>
      <x:c r="G290" s="5">
        <x:v>8.12260748E8</x:v>
      </x:c>
      <x:c r="H290" s="5">
        <x:v>8.12260748E8</x:v>
      </x:c>
      <x:c r="I290" s="5">
        <x:v>8.12260748E8</x:v>
      </x:c>
      <x:c r="J290" s="5">
        <x:v>0.0</x:v>
      </x:c>
      <x:c r="K290" s="5">
        <x:v>0.0</x:v>
      </x:c>
      <x:c r="L290" s="2" t="s">
        <x:v>28</x:v>
      </x:c>
      <x:c r="M290" s="2" t="s">
        <x:v>28</x:v>
      </x:c>
      <x:c r="N290" s="2" t="e">
        <x:f>IFERROR(__xludf.DUMMYFUNCTION("IF(ISDATE(TO_DATE(L290)), MAX(0, ROUND(TODAY() - TO_DATE(L290)), 0), ""-"")"),"-")</x:f>
      </x:c>
      <x:c r="O290" s="2" t="e">
        <x:f>IFERROR(__xludf.DUMMYFUNCTION("IF(ISDATE(TO_DATE(M290)), MAX(0, ROUND(TODAY() - TO_DATE(M290)), 0), ""-"")"),"-")</x:f>
      </x:c>
      <x:c r="P290" s="6">
        <x:v>2.691E-5</x:v>
      </x:c>
      <x:c r="Q290" s="6">
        <x:v>0.6806</x:v>
      </x:c>
      <x:c r="R290" s="7">
        <x:v>21857.93672868</x:v>
      </x:c>
      <x:c r="S290" s="7">
        <x:v>21866.0</x:v>
      </x:c>
      <x:c r="T290" s="7">
        <x:v>4.32</x:v>
      </x:c>
      <x:c r="U290" s="7">
        <x:v>79.03999999999999</x:v>
      </x:c>
      <x:c r="V290" s="2" t="s">
        <x:v>28</x:v>
      </x:c>
      <x:c r="W290" s="2" t="s">
        <x:v>28</x:v>
      </x:c>
      <x:c r="X290" s="2" t="s">
        <x:v>28</x:v>
      </x:c>
      <x:c r="Y290" s="2" t="s">
        <x:v>28</x:v>
      </x:c>
      <x:c r="Z290" s="9" t="s">
        <x:v>642</x:v>
      </x:c>
      <x:c r="AA290" s="60" t="str">
        <x:v>Snapshot only — run GitHub workflow</x:v>
      </x:c>
      <x:c r="AB290" s="61" t="n">
        <x:f>IFERROR(H290/G290,"")</x:f>
        <x:v>1</x:v>
      </x:c>
      <x:c r="AC290" s="60" t="str"/>
      <x:c r="AD290" s="60" t="str"/>
      <x:c r="AE290" s="60" t="str"/>
      <x:c r="AF290" s="60" t="str"/>
    </x:row>
    <x:row r="291" ht="15.75" customHeight="1">
      <x:c r="A291" s="2" t="s">
        <x:v>643</x:v>
      </x:c>
      <x:c r="B291" s="2" t="s">
        <x:v>644</x:v>
      </x:c>
      <x:c r="C291" s="3" t="e">
        <x:f>HYPERLINK("https://scan.mypinata.cloud/ipfs/bafybeih3olry3is4e4lzm7rus5l3h6zrphcal5a7ayfkhzm5oivjro2cp4/#/address/0x85498aBc21DA6e4455ed74211cAb5f55c0415D6F", "0x85498aBc21DA6e4455ed74211cAb5f55c0415D6F")</x:f>
      </x:c>
      <x:c r="D291" s="4" t="str">
        <x:f t="shared" si="17"/>
        <x:v>Atropa Dev Multiverse</x:v>
      </x:c>
      <x:c r="E291" s="4" t="e">
        <x:f>HYPERLINK("https://scan.mypinata.cloud/ipfs/bafybeih3olry3is4e4lzm7rus5l3h6zrphcal5a7ayfkhzm5oivjro2cp4/#/block/22287675", "22287675")</x:f>
      </x:c>
      <x:c r="F291" s="4" t="e">
        <x:f>HYPERLINK("https://scan.mypinata.cloud/ipfs/bafybeih3olry3is4e4lzm7rus5l3h6zrphcal5a7ayfkhzm5oivjro2cp4/#/tx/0x7749174b8c90dea707ff6d5915272f5dff08ee9968d6c2c6fb6a1e187e7ebafd", "2024-12-26 20:18:45")</x:f>
      </x:c>
      <x:c r="G291" s="5">
        <x:v>7475.0</x:v>
      </x:c>
      <x:c r="H291" s="5">
        <x:v>7650.0</x:v>
      </x:c>
      <x:c r="I291" s="5">
        <x:v>7650.0</x:v>
      </x:c>
      <x:c r="J291" s="5">
        <x:v>175.0</x:v>
      </x:c>
      <x:c r="K291" s="5">
        <x:v>0.0</x:v>
      </x:c>
      <x:c r="L291" s="4" t="e">
        <x:f>HYPERLINK("https://scan.mypinata.cloud/ipfs/bafybeih3olry3is4e4lzm7rus5l3h6zrphcal5a7ayfkhzm5oivjro2cp4/#/tx/0x5d2194cef992c7a3183f8b777c778596fb6716076ca87ba7915eb9c82e297f3b", "2025-02-13 00:57:35")</x:f>
      </x:c>
      <x:c r="M291" s="2" t="s">
        <x:v>28</x:v>
      </x:c>
      <x:c r="N291" s="2" t="e">
        <x:f>IFERROR(__xludf.DUMMYFUNCTION("IF(ISDATE(TO_DATE(L291)), MAX(0, ROUND(TODAY() - TO_DATE(L291)), 0), ""-"")"),505.0)</x:f>
      </x:c>
      <x:c r="O291" s="2" t="e">
        <x:f>IFERROR(__xludf.DUMMYFUNCTION("IF(ISDATE(TO_DATE(M291)), MAX(0, ROUND(TODAY() - TO_DATE(M291)), 0), ""-"")"),"-")</x:f>
      </x:c>
      <x:c r="P291" s="6">
        <x:v>3.4</x:v>
      </x:c>
      <x:c r="Q291" s="6">
        <x:v>85069.1254</x:v>
      </x:c>
      <x:c r="R291" s="7">
        <x:v>26010.0</x:v>
      </x:c>
      <x:c r="S291" s="7">
        <x:v>26046.0</x:v>
      </x:c>
      <x:c r="T291" s="7">
        <x:v>1.58</x:v>
      </x:c>
      <x:c r="U291" s="7">
        <x:v>68.23</x:v>
      </x:c>
      <x:c r="V291" s="2" t="s">
        <x:v>28</x:v>
      </x:c>
      <x:c r="W291" s="2" t="s">
        <x:v>28</x:v>
      </x:c>
      <x:c r="X291" s="2" t="s">
        <x:v>28</x:v>
      </x:c>
      <x:c r="Y291" s="2" t="s">
        <x:v>28</x:v>
      </x:c>
      <x:c r="Z291" s="9" t="s">
        <x:v>645</x:v>
      </x:c>
      <x:c r="AA291" s="60" t="str">
        <x:v>Snapshot only — run GitHub workflow</x:v>
      </x:c>
      <x:c r="AB291" s="61" t="n">
        <x:f>IFERROR(H291/G291,"")</x:f>
        <x:v>1.0234113712374582</x:v>
      </x:c>
      <x:c r="AC291" s="60" t="str"/>
      <x:c r="AD291" s="60" t="str"/>
      <x:c r="AE291" s="60" t="str"/>
      <x:c r="AF291" s="60" t="str"/>
    </x:row>
    <x:row r="292" ht="15.75" customHeight="1">
      <x:c r="A292" s="12" t="s">
        <x:v>646</x:v>
      </x:c>
      <x:c r="B292" s="12" t="s">
        <x:v>647</x:v>
      </x:c>
      <x:c r="C292" s="13" t="e">
        <x:f>HYPERLINK("https://scan.mypinata.cloud/ipfs/bafybeih3olry3is4e4lzm7rus5l3h6zrphcal5a7ayfkhzm5oivjro2cp4/#/address/0x7fBf264A9b3B6A28c21cfC93CA91f081ddB09949", "0x7fBf264A9b3B6A28c21cfC93CA91f081ddB09949")</x:f>
      </x:c>
      <x:c r="D292" s="14" t="str">
        <x:f t="shared" si="17"/>
        <x:v>Atropa Dev Multiverse</x:v>
      </x:c>
      <x:c r="E292" s="14" t="e">
        <x:f>HYPERLINK("https://scan.mypinata.cloud/ipfs/bafybeih3olry3is4e4lzm7rus5l3h6zrphcal5a7ayfkhzm5oivjro2cp4/#/block/22298761", "22298761")</x:f>
      </x:c>
      <x:c r="F292" s="14" t="e">
        <x:f>HYPERLINK("https://scan.mypinata.cloud/ipfs/bafybeih3olry3is4e4lzm7rus5l3h6zrphcal5a7ayfkhzm5oivjro2cp4/#/tx/0xb2daa3069b52f55af57977bd9e5b46f2910ed48c0cff07bd032555f0de9598f0", "2024-12-28 03:25:25")</x:f>
      </x:c>
      <x:c r="G292" s="15">
        <x:v>5555.0</x:v>
      </x:c>
      <x:c r="H292" s="15">
        <x:v>761491.3333333334</x:v>
      </x:c>
      <x:c r="I292" s="15">
        <x:v>754491.3333333334</x:v>
      </x:c>
      <x:c r="J292" s="15">
        <x:v>748936.3333333334</x:v>
      </x:c>
      <x:c r="K292" s="15">
        <x:v>0.0</x:v>
      </x:c>
      <x:c r="L292" s="14" t="e">
        <x:f>HYPERLINK("https://scan.mypinata.cloud/ipfs/bafybeih3olry3is4e4lzm7rus5l3h6zrphcal5a7ayfkhzm5oivjro2cp4/#/tx/0x318d4fea906ff5dcb53d38c81a82335c1f25831b78cc2ea7a6109d71c937a438", "2024-12-31 00:57:35")</x:f>
      </x:c>
      <x:c r="M292" s="16" t="s">
        <x:v>28</x:v>
      </x:c>
      <x:c r="N292" s="16" t="e">
        <x:f>IFERROR(__xludf.DUMMYFUNCTION("IF(ISDATE(TO_DATE(L292)), MAX(0, ROUND(TODAY() - TO_DATE(L292)), 0), ""-"")"),549.0)</x:f>
      </x:c>
      <x:c r="O292" s="16" t="e">
        <x:f>IFERROR(__xludf.DUMMYFUNCTION("IF(ISDATE(TO_DATE(M292)), MAX(0, ROUND(TODAY() - TO_DATE(M292)), 0), ""-"")"),"-")</x:f>
      </x:c>
      <x:c r="P292" s="16" t="s">
        <x:v>28</x:v>
      </x:c>
      <x:c r="Q292" s="16" t="s">
        <x:v>28</x:v>
      </x:c>
      <x:c r="R292" s="16" t="s">
        <x:v>28</x:v>
      </x:c>
      <x:c r="S292" s="16" t="s">
        <x:v>28</x:v>
      </x:c>
      <x:c r="T292" s="16" t="s">
        <x:v>28</x:v>
      </x:c>
      <x:c r="U292" s="16" t="s">
        <x:v>28</x:v>
      </x:c>
      <x:c r="V292" s="16" t="s">
        <x:v>28</x:v>
      </x:c>
      <x:c r="W292" s="16" t="s">
        <x:v>28</x:v>
      </x:c>
      <x:c r="X292" s="16" t="s">
        <x:v>28</x:v>
      </x:c>
      <x:c r="Y292" s="16" t="s">
        <x:v>28</x:v>
      </x:c>
      <x:c r="Z292" s="19" t="s">
        <x:v>648</x:v>
      </x:c>
      <x:c r="AA292" s="60" t="str">
        <x:v>Snapshot only — run GitHub workflow</x:v>
      </x:c>
      <x:c r="AB292" s="61" t="n">
        <x:f>IFERROR(H292/G292,"")</x:f>
        <x:v>137.0821482148215</x:v>
      </x:c>
      <x:c r="AC292" s="60" t="str"/>
      <x:c r="AD292" s="60" t="str"/>
      <x:c r="AE292" s="60" t="str"/>
      <x:c r="AF292" s="60" t="str"/>
    </x:row>
    <x:row r="293" ht="15.75" customHeight="1">
      <x:c r="A293" s="2" t="s">
        <x:v>649</x:v>
      </x:c>
      <x:c r="B293" s="2" t="s">
        <x:v>650</x:v>
      </x:c>
      <x:c r="C293" s="3" t="e">
        <x:f>HYPERLINK("https://scan.mypinata.cloud/ipfs/bafybeih3olry3is4e4lzm7rus5l3h6zrphcal5a7ayfkhzm5oivjro2cp4/#/address/0xCec82DD6584a5d6fBed3B868BBFD76857F7060e3", "0xCec82DD6584a5d6fBed3B868BBFD76857F7060e3")</x:f>
      </x:c>
      <x:c r="D293" s="4" t="str">
        <x:f t="shared" si="17"/>
        <x:v>Atropa Dev Multiverse</x:v>
      </x:c>
      <x:c r="E293" s="4" t="e">
        <x:f>HYPERLINK("https://scan.mypinata.cloud/ipfs/bafybeih3olry3is4e4lzm7rus5l3h6zrphcal5a7ayfkhzm5oivjro2cp4/#/block/22330366", "22330366")</x:f>
      </x:c>
      <x:c r="F293" s="4" t="e">
        <x:f>HYPERLINK("https://scan.mypinata.cloud/ipfs/bafybeih3olry3is4e4lzm7rus5l3h6zrphcal5a7ayfkhzm5oivjro2cp4/#/tx/0x13c57b624e14ec06941b6c10090dcef17e1790cdc919042c1b9efb62497171cd", "2024-12-31 20:19:45")</x:f>
      </x:c>
      <x:c r="G293" s="5">
        <x:v>111111.0</x:v>
      </x:c>
      <x:c r="H293" s="5">
        <x:v>111111.0</x:v>
      </x:c>
      <x:c r="I293" s="5">
        <x:v>111111.0</x:v>
      </x:c>
      <x:c r="J293" s="5">
        <x:v>0.0</x:v>
      </x:c>
      <x:c r="K293" s="5">
        <x:v>0.0</x:v>
      </x:c>
      <x:c r="L293" s="2" t="s">
        <x:v>28</x:v>
      </x:c>
      <x:c r="M293" s="2" t="s">
        <x:v>28</x:v>
      </x:c>
      <x:c r="N293" s="2" t="e">
        <x:f>IFERROR(__xludf.DUMMYFUNCTION("IF(ISDATE(TO_DATE(L293)), MAX(0, ROUND(TODAY() - TO_DATE(L293)), 0), ""-"")"),"-")</x:f>
      </x:c>
      <x:c r="O293" s="2" t="e">
        <x:f>IFERROR(__xludf.DUMMYFUNCTION("IF(ISDATE(TO_DATE(M293)), MAX(0, ROUND(TODAY() - TO_DATE(M293)), 0), ""-"")"),"-")</x:f>
      </x:c>
      <x:c r="P293" s="6">
        <x:v>11.57</x:v>
      </x:c>
      <x:c r="Q293" s="6">
        <x:v>289861.8547</x:v>
      </x:c>
      <x:c r="R293" s="7">
        <x:v>1285554.27</x:v>
      </x:c>
      <x:c r="S293" s="7">
        <x:v>1285630.0</x:v>
      </x:c>
      <x:c r="T293" s="7">
        <x:v>2947.69</x:v>
      </x:c>
      <x:c r="U293" s="7">
        <x:v>79143.38</x:v>
      </x:c>
      <x:c r="V293" s="2" t="s">
        <x:v>28</x:v>
      </x:c>
      <x:c r="W293" s="2" t="s">
        <x:v>28</x:v>
      </x:c>
      <x:c r="X293" s="2" t="s">
        <x:v>28</x:v>
      </x:c>
      <x:c r="Y293" s="2" t="s">
        <x:v>28</x:v>
      </x:c>
      <x:c r="Z293" s="9" t="s">
        <x:v>645</x:v>
      </x:c>
      <x:c r="AA293" s="60" t="str">
        <x:v>Snapshot only — run GitHub workflow</x:v>
      </x:c>
      <x:c r="AB293" s="61" t="n">
        <x:f>IFERROR(H293/G293,"")</x:f>
        <x:v>1</x:v>
      </x:c>
      <x:c r="AC293" s="60" t="str"/>
      <x:c r="AD293" s="60" t="str"/>
      <x:c r="AE293" s="60" t="str"/>
      <x:c r="AF293" s="60" t="str"/>
    </x:row>
    <x:row r="294" ht="15.75" customHeight="1">
      <x:c r="A294" s="23" t="s">
        <x:v>651</x:v>
      </x:c>
      <x:c r="B294" s="23" t="s">
        <x:v>651</x:v>
      </x:c>
      <x:c r="C294" s="23" t="s">
        <x:v>651</x:v>
      </x:c>
      <x:c r="D294" s="23" t="s">
        <x:v>651</x:v>
      </x:c>
      <x:c r="E294" s="23" t="s">
        <x:v>651</x:v>
      </x:c>
      <x:c r="F294" s="23" t="s">
        <x:v>651</x:v>
      </x:c>
      <x:c r="G294" s="23" t="s">
        <x:v>651</x:v>
      </x:c>
      <x:c r="H294" s="23" t="s">
        <x:v>651</x:v>
      </x:c>
      <x:c r="I294" s="23" t="s">
        <x:v>651</x:v>
      </x:c>
      <x:c r="J294" s="23" t="s">
        <x:v>651</x:v>
      </x:c>
      <x:c r="K294" s="23" t="s">
        <x:v>651</x:v>
      </x:c>
      <x:c r="L294" s="23" t="s">
        <x:v>651</x:v>
      </x:c>
      <x:c r="M294" s="23" t="s">
        <x:v>651</x:v>
      </x:c>
      <x:c r="N294" s="23" t="s">
        <x:v>651</x:v>
      </x:c>
      <x:c r="O294" s="23" t="s">
        <x:v>651</x:v>
      </x:c>
      <x:c r="P294" s="23" t="s">
        <x:v>651</x:v>
      </x:c>
      <x:c r="Q294" s="23" t="s">
        <x:v>651</x:v>
      </x:c>
      <x:c r="R294" s="23" t="s">
        <x:v>651</x:v>
      </x:c>
      <x:c r="S294" s="23" t="s">
        <x:v>651</x:v>
      </x:c>
      <x:c r="T294" s="23" t="s">
        <x:v>651</x:v>
      </x:c>
      <x:c r="U294" s="23" t="s">
        <x:v>651</x:v>
      </x:c>
      <x:c r="V294" s="23" t="s">
        <x:v>651</x:v>
      </x:c>
      <x:c r="W294" s="23" t="s">
        <x:v>651</x:v>
      </x:c>
      <x:c r="X294" s="23" t="s">
        <x:v>651</x:v>
      </x:c>
      <x:c r="Y294" s="23" t="s">
        <x:v>651</x:v>
      </x:c>
      <x:c r="Z294" s="23" t="s">
        <x:v>651</x:v>
      </x:c>
    </x:row>
    <x:row r="295" ht="15.75" customHeight="1">
      <x:c r="A295" s="23" t="s">
        <x:v>651</x:v>
      </x:c>
      <x:c r="B295" s="23" t="s">
        <x:v>651</x:v>
      </x:c>
      <x:c r="C295" s="23" t="s">
        <x:v>651</x:v>
      </x:c>
      <x:c r="D295" s="23" t="s">
        <x:v>651</x:v>
      </x:c>
      <x:c r="E295" s="23" t="s">
        <x:v>651</x:v>
      </x:c>
      <x:c r="F295" s="23" t="s">
        <x:v>651</x:v>
      </x:c>
      <x:c r="G295" s="23" t="s">
        <x:v>651</x:v>
      </x:c>
      <x:c r="H295" s="23" t="s">
        <x:v>651</x:v>
      </x:c>
      <x:c r="I295" s="23" t="s">
        <x:v>651</x:v>
      </x:c>
      <x:c r="J295" s="23" t="s">
        <x:v>651</x:v>
      </x:c>
      <x:c r="K295" s="23" t="s">
        <x:v>651</x:v>
      </x:c>
      <x:c r="L295" s="23" t="s">
        <x:v>651</x:v>
      </x:c>
      <x:c r="M295" s="23" t="s">
        <x:v>651</x:v>
      </x:c>
      <x:c r="N295" s="23" t="s">
        <x:v>651</x:v>
      </x:c>
      <x:c r="O295" s="23" t="s">
        <x:v>651</x:v>
      </x:c>
      <x:c r="P295" s="23" t="s">
        <x:v>651</x:v>
      </x:c>
      <x:c r="Q295" s="23" t="s">
        <x:v>651</x:v>
      </x:c>
      <x:c r="R295" s="23" t="s">
        <x:v>651</x:v>
      </x:c>
      <x:c r="S295" s="23" t="s">
        <x:v>651</x:v>
      </x:c>
      <x:c r="T295" s="23" t="s">
        <x:v>651</x:v>
      </x:c>
      <x:c r="U295" s="23" t="s">
        <x:v>651</x:v>
      </x:c>
      <x:c r="V295" s="23" t="s">
        <x:v>651</x:v>
      </x:c>
      <x:c r="W295" s="23" t="s">
        <x:v>651</x:v>
      </x:c>
      <x:c r="X295" s="23" t="s">
        <x:v>651</x:v>
      </x:c>
      <x:c r="Y295" s="23" t="s">
        <x:v>651</x:v>
      </x:c>
      <x:c r="Z295" s="23" t="s">
        <x:v>651</x:v>
      </x:c>
    </x:row>
    <x:row r="296" ht="15.75" customHeight="1">
      <x:c r="A296" s="23" t="s">
        <x:v>651</x:v>
      </x:c>
      <x:c r="B296" s="23" t="s">
        <x:v>651</x:v>
      </x:c>
      <x:c r="C296" s="23" t="s">
        <x:v>651</x:v>
      </x:c>
      <x:c r="D296" s="23" t="s">
        <x:v>651</x:v>
      </x:c>
      <x:c r="E296" s="23" t="s">
        <x:v>651</x:v>
      </x:c>
      <x:c r="F296" s="23" t="s">
        <x:v>651</x:v>
      </x:c>
      <x:c r="G296" s="23" t="s">
        <x:v>651</x:v>
      </x:c>
      <x:c r="H296" s="23" t="s">
        <x:v>651</x:v>
      </x:c>
      <x:c r="I296" s="23" t="s">
        <x:v>651</x:v>
      </x:c>
      <x:c r="J296" s="23" t="s">
        <x:v>651</x:v>
      </x:c>
      <x:c r="K296" s="23" t="s">
        <x:v>651</x:v>
      </x:c>
      <x:c r="L296" s="23" t="s">
        <x:v>651</x:v>
      </x:c>
      <x:c r="M296" s="23" t="s">
        <x:v>651</x:v>
      </x:c>
      <x:c r="N296" s="23" t="s">
        <x:v>651</x:v>
      </x:c>
      <x:c r="O296" s="23" t="s">
        <x:v>651</x:v>
      </x:c>
      <x:c r="P296" s="23" t="s">
        <x:v>651</x:v>
      </x:c>
      <x:c r="Q296" s="23" t="s">
        <x:v>651</x:v>
      </x:c>
      <x:c r="R296" s="23" t="s">
        <x:v>651</x:v>
      </x:c>
      <x:c r="S296" s="23" t="s">
        <x:v>651</x:v>
      </x:c>
      <x:c r="T296" s="23" t="s">
        <x:v>651</x:v>
      </x:c>
      <x:c r="U296" s="23" t="s">
        <x:v>651</x:v>
      </x:c>
      <x:c r="V296" s="23" t="s">
        <x:v>651</x:v>
      </x:c>
      <x:c r="W296" s="23" t="s">
        <x:v>651</x:v>
      </x:c>
      <x:c r="X296" s="23" t="s">
        <x:v>651</x:v>
      </x:c>
      <x:c r="Y296" s="23" t="s">
        <x:v>651</x:v>
      </x:c>
      <x:c r="Z296" s="23" t="s">
        <x:v>651</x:v>
      </x:c>
    </x:row>
    <x:row r="297" ht="15.75" customHeight="1">
      <x:c r="A297" s="23" t="s">
        <x:v>651</x:v>
      </x:c>
      <x:c r="B297" s="23" t="s">
        <x:v>651</x:v>
      </x:c>
      <x:c r="C297" s="23" t="s">
        <x:v>651</x:v>
      </x:c>
      <x:c r="D297" s="23" t="s">
        <x:v>651</x:v>
      </x:c>
      <x:c r="E297" s="23" t="s">
        <x:v>651</x:v>
      </x:c>
      <x:c r="F297" s="23" t="s">
        <x:v>651</x:v>
      </x:c>
      <x:c r="G297" s="23" t="s">
        <x:v>651</x:v>
      </x:c>
      <x:c r="H297" s="23" t="s">
        <x:v>651</x:v>
      </x:c>
      <x:c r="I297" s="23" t="s">
        <x:v>651</x:v>
      </x:c>
      <x:c r="J297" s="23" t="s">
        <x:v>651</x:v>
      </x:c>
      <x:c r="K297" s="23" t="s">
        <x:v>651</x:v>
      </x:c>
      <x:c r="L297" s="23" t="s">
        <x:v>651</x:v>
      </x:c>
      <x:c r="M297" s="23" t="s">
        <x:v>651</x:v>
      </x:c>
      <x:c r="N297" s="23" t="s">
        <x:v>651</x:v>
      </x:c>
      <x:c r="O297" s="23" t="s">
        <x:v>651</x:v>
      </x:c>
      <x:c r="P297" s="23" t="s">
        <x:v>651</x:v>
      </x:c>
      <x:c r="Q297" s="23" t="s">
        <x:v>651</x:v>
      </x:c>
      <x:c r="R297" s="23" t="s">
        <x:v>651</x:v>
      </x:c>
      <x:c r="S297" s="23" t="s">
        <x:v>651</x:v>
      </x:c>
      <x:c r="T297" s="23" t="s">
        <x:v>651</x:v>
      </x:c>
      <x:c r="U297" s="23" t="s">
        <x:v>651</x:v>
      </x:c>
      <x:c r="V297" s="23" t="s">
        <x:v>651</x:v>
      </x:c>
      <x:c r="W297" s="23" t="s">
        <x:v>651</x:v>
      </x:c>
      <x:c r="X297" s="23" t="s">
        <x:v>651</x:v>
      </x:c>
      <x:c r="Y297" s="23" t="s">
        <x:v>651</x:v>
      </x:c>
      <x:c r="Z297" s="23" t="s">
        <x:v>651</x:v>
      </x:c>
    </x:row>
    <x:row r="298" ht="15.75" customHeight="1">
      <x:c r="A298" s="23" t="s">
        <x:v>651</x:v>
      </x:c>
      <x:c r="B298" s="23" t="s">
        <x:v>651</x:v>
      </x:c>
      <x:c r="C298" s="23" t="s">
        <x:v>651</x:v>
      </x:c>
      <x:c r="D298" s="23" t="s">
        <x:v>651</x:v>
      </x:c>
      <x:c r="E298" s="23" t="s">
        <x:v>651</x:v>
      </x:c>
      <x:c r="F298" s="23" t="s">
        <x:v>651</x:v>
      </x:c>
      <x:c r="G298" s="23" t="s">
        <x:v>651</x:v>
      </x:c>
      <x:c r="H298" s="23" t="s">
        <x:v>651</x:v>
      </x:c>
      <x:c r="I298" s="23" t="s">
        <x:v>651</x:v>
      </x:c>
      <x:c r="J298" s="23" t="s">
        <x:v>651</x:v>
      </x:c>
      <x:c r="K298" s="23" t="s">
        <x:v>651</x:v>
      </x:c>
      <x:c r="L298" s="23" t="s">
        <x:v>651</x:v>
      </x:c>
      <x:c r="M298" s="23" t="s">
        <x:v>651</x:v>
      </x:c>
      <x:c r="N298" s="23" t="s">
        <x:v>651</x:v>
      </x:c>
      <x:c r="O298" s="23" t="s">
        <x:v>651</x:v>
      </x:c>
      <x:c r="P298" s="23" t="s">
        <x:v>651</x:v>
      </x:c>
      <x:c r="Q298" s="23" t="s">
        <x:v>651</x:v>
      </x:c>
      <x:c r="R298" s="23" t="s">
        <x:v>651</x:v>
      </x:c>
      <x:c r="S298" s="23" t="s">
        <x:v>651</x:v>
      </x:c>
      <x:c r="T298" s="23" t="s">
        <x:v>651</x:v>
      </x:c>
      <x:c r="U298" s="23" t="s">
        <x:v>651</x:v>
      </x:c>
      <x:c r="V298" s="23" t="s">
        <x:v>651</x:v>
      </x:c>
      <x:c r="W298" s="23" t="s">
        <x:v>651</x:v>
      </x:c>
      <x:c r="X298" s="23" t="s">
        <x:v>651</x:v>
      </x:c>
      <x:c r="Y298" s="23" t="s">
        <x:v>651</x:v>
      </x:c>
      <x:c r="Z298" s="23" t="s">
        <x:v>651</x:v>
      </x:c>
    </x:row>
    <x:row r="299" ht="15.75" customHeight="1">
      <x:c r="A299" s="23" t="s">
        <x:v>651</x:v>
      </x:c>
      <x:c r="B299" s="23" t="s">
        <x:v>651</x:v>
      </x:c>
      <x:c r="C299" s="23" t="s">
        <x:v>651</x:v>
      </x:c>
      <x:c r="D299" s="23" t="s">
        <x:v>651</x:v>
      </x:c>
      <x:c r="E299" s="23" t="s">
        <x:v>651</x:v>
      </x:c>
      <x:c r="F299" s="23" t="s">
        <x:v>651</x:v>
      </x:c>
      <x:c r="G299" s="23" t="s">
        <x:v>651</x:v>
      </x:c>
      <x:c r="H299" s="23" t="s">
        <x:v>651</x:v>
      </x:c>
      <x:c r="I299" s="23" t="s">
        <x:v>651</x:v>
      </x:c>
      <x:c r="J299" s="23" t="s">
        <x:v>651</x:v>
      </x:c>
      <x:c r="K299" s="23" t="s">
        <x:v>651</x:v>
      </x:c>
      <x:c r="L299" s="23" t="s">
        <x:v>651</x:v>
      </x:c>
      <x:c r="M299" s="23" t="s">
        <x:v>651</x:v>
      </x:c>
      <x:c r="N299" s="23" t="s">
        <x:v>651</x:v>
      </x:c>
      <x:c r="O299" s="23" t="s">
        <x:v>651</x:v>
      </x:c>
      <x:c r="P299" s="23" t="s">
        <x:v>651</x:v>
      </x:c>
      <x:c r="Q299" s="23" t="s">
        <x:v>651</x:v>
      </x:c>
      <x:c r="R299" s="23" t="s">
        <x:v>651</x:v>
      </x:c>
      <x:c r="S299" s="23" t="s">
        <x:v>651</x:v>
      </x:c>
      <x:c r="T299" s="23" t="s">
        <x:v>651</x:v>
      </x:c>
      <x:c r="U299" s="23" t="s">
        <x:v>651</x:v>
      </x:c>
      <x:c r="V299" s="23" t="s">
        <x:v>651</x:v>
      </x:c>
      <x:c r="W299" s="23" t="s">
        <x:v>651</x:v>
      </x:c>
      <x:c r="X299" s="23" t="s">
        <x:v>651</x:v>
      </x:c>
      <x:c r="Y299" s="23" t="s">
        <x:v>651</x:v>
      </x:c>
      <x:c r="Z299" s="23" t="s">
        <x:v>651</x:v>
      </x:c>
    </x:row>
    <x:row r="300" ht="15.75" customHeight="1">
      <x:c r="A300" s="23" t="s">
        <x:v>651</x:v>
      </x:c>
      <x:c r="B300" s="23" t="s">
        <x:v>651</x:v>
      </x:c>
      <x:c r="C300" s="23" t="s">
        <x:v>651</x:v>
      </x:c>
      <x:c r="D300" s="23" t="s">
        <x:v>651</x:v>
      </x:c>
      <x:c r="E300" s="23" t="s">
        <x:v>651</x:v>
      </x:c>
      <x:c r="F300" s="23" t="s">
        <x:v>651</x:v>
      </x:c>
      <x:c r="G300" s="23" t="s">
        <x:v>651</x:v>
      </x:c>
      <x:c r="H300" s="23" t="s">
        <x:v>651</x:v>
      </x:c>
      <x:c r="I300" s="23" t="s">
        <x:v>651</x:v>
      </x:c>
      <x:c r="J300" s="23" t="s">
        <x:v>651</x:v>
      </x:c>
      <x:c r="K300" s="23" t="s">
        <x:v>651</x:v>
      </x:c>
      <x:c r="L300" s="23" t="s">
        <x:v>651</x:v>
      </x:c>
      <x:c r="M300" s="23" t="s">
        <x:v>651</x:v>
      </x:c>
      <x:c r="N300" s="23" t="s">
        <x:v>651</x:v>
      </x:c>
      <x:c r="O300" s="23" t="s">
        <x:v>651</x:v>
      </x:c>
      <x:c r="P300" s="23" t="s">
        <x:v>651</x:v>
      </x:c>
      <x:c r="Q300" s="23" t="s">
        <x:v>651</x:v>
      </x:c>
      <x:c r="R300" s="23" t="s">
        <x:v>651</x:v>
      </x:c>
      <x:c r="S300" s="23" t="s">
        <x:v>651</x:v>
      </x:c>
      <x:c r="T300" s="23" t="s">
        <x:v>651</x:v>
      </x:c>
      <x:c r="U300" s="23" t="s">
        <x:v>651</x:v>
      </x:c>
      <x:c r="V300" s="23" t="s">
        <x:v>651</x:v>
      </x:c>
      <x:c r="W300" s="23" t="s">
        <x:v>651</x:v>
      </x:c>
      <x:c r="X300" s="23" t="s">
        <x:v>651</x:v>
      </x:c>
      <x:c r="Y300" s="23" t="s">
        <x:v>651</x:v>
      </x:c>
      <x:c r="Z300" s="23" t="s">
        <x:v>651</x:v>
      </x:c>
    </x:row>
    <x:row r="301" ht="15.75" customHeight="1">
      <x:c r="A301" s="23" t="s">
        <x:v>651</x:v>
      </x:c>
      <x:c r="B301" s="23" t="s">
        <x:v>651</x:v>
      </x:c>
      <x:c r="C301" s="23" t="s">
        <x:v>651</x:v>
      </x:c>
      <x:c r="D301" s="23" t="s">
        <x:v>651</x:v>
      </x:c>
      <x:c r="E301" s="23" t="s">
        <x:v>651</x:v>
      </x:c>
      <x:c r="F301" s="23" t="s">
        <x:v>651</x:v>
      </x:c>
      <x:c r="G301" s="23" t="s">
        <x:v>651</x:v>
      </x:c>
      <x:c r="H301" s="23" t="s">
        <x:v>651</x:v>
      </x:c>
      <x:c r="I301" s="23" t="s">
        <x:v>651</x:v>
      </x:c>
      <x:c r="J301" s="23" t="s">
        <x:v>651</x:v>
      </x:c>
      <x:c r="K301" s="23" t="s">
        <x:v>651</x:v>
      </x:c>
      <x:c r="L301" s="23" t="s">
        <x:v>651</x:v>
      </x:c>
      <x:c r="M301" s="23" t="s">
        <x:v>651</x:v>
      </x:c>
      <x:c r="N301" s="23" t="s">
        <x:v>651</x:v>
      </x:c>
      <x:c r="O301" s="23" t="s">
        <x:v>651</x:v>
      </x:c>
      <x:c r="P301" s="23" t="s">
        <x:v>651</x:v>
      </x:c>
      <x:c r="Q301" s="23" t="s">
        <x:v>651</x:v>
      </x:c>
      <x:c r="R301" s="23" t="s">
        <x:v>651</x:v>
      </x:c>
      <x:c r="S301" s="23" t="s">
        <x:v>651</x:v>
      </x:c>
      <x:c r="T301" s="23" t="s">
        <x:v>651</x:v>
      </x:c>
      <x:c r="U301" s="23" t="s">
        <x:v>651</x:v>
      </x:c>
      <x:c r="V301" s="23" t="s">
        <x:v>651</x:v>
      </x:c>
      <x:c r="W301" s="23" t="s">
        <x:v>651</x:v>
      </x:c>
      <x:c r="X301" s="23" t="s">
        <x:v>651</x:v>
      </x:c>
      <x:c r="Y301" s="23" t="s">
        <x:v>651</x:v>
      </x:c>
      <x:c r="Z301" s="23" t="s">
        <x:v>651</x:v>
      </x:c>
    </x:row>
    <x:row r="302" ht="15.75" customHeight="1">
      <x:c r="A302" s="23" t="s">
        <x:v>651</x:v>
      </x:c>
      <x:c r="B302" s="23" t="s">
        <x:v>651</x:v>
      </x:c>
      <x:c r="C302" s="23" t="s">
        <x:v>651</x:v>
      </x:c>
      <x:c r="D302" s="23" t="s">
        <x:v>651</x:v>
      </x:c>
      <x:c r="E302" s="23" t="s">
        <x:v>651</x:v>
      </x:c>
      <x:c r="F302" s="23" t="s">
        <x:v>651</x:v>
      </x:c>
      <x:c r="G302" s="23" t="s">
        <x:v>651</x:v>
      </x:c>
      <x:c r="H302" s="23" t="s">
        <x:v>651</x:v>
      </x:c>
      <x:c r="I302" s="23" t="s">
        <x:v>651</x:v>
      </x:c>
      <x:c r="J302" s="23" t="s">
        <x:v>651</x:v>
      </x:c>
      <x:c r="K302" s="23" t="s">
        <x:v>651</x:v>
      </x:c>
      <x:c r="L302" s="23" t="s">
        <x:v>651</x:v>
      </x:c>
      <x:c r="M302" s="23" t="s">
        <x:v>651</x:v>
      </x:c>
      <x:c r="N302" s="23" t="s">
        <x:v>651</x:v>
      </x:c>
      <x:c r="O302" s="23" t="s">
        <x:v>651</x:v>
      </x:c>
      <x:c r="P302" s="23" t="s">
        <x:v>651</x:v>
      </x:c>
      <x:c r="Q302" s="23" t="s">
        <x:v>651</x:v>
      </x:c>
      <x:c r="R302" s="23" t="s">
        <x:v>651</x:v>
      </x:c>
      <x:c r="S302" s="23" t="s">
        <x:v>651</x:v>
      </x:c>
      <x:c r="T302" s="23" t="s">
        <x:v>651</x:v>
      </x:c>
      <x:c r="U302" s="23" t="s">
        <x:v>651</x:v>
      </x:c>
      <x:c r="V302" s="23" t="s">
        <x:v>651</x:v>
      </x:c>
      <x:c r="W302" s="23" t="s">
        <x:v>651</x:v>
      </x:c>
      <x:c r="X302" s="23" t="s">
        <x:v>651</x:v>
      </x:c>
      <x:c r="Y302" s="23" t="s">
        <x:v>651</x:v>
      </x:c>
      <x:c r="Z302" s="23" t="s">
        <x:v>651</x:v>
      </x:c>
    </x:row>
    <x:row r="303" ht="15.75" customHeight="1">
      <x:c r="A303" s="23" t="s">
        <x:v>651</x:v>
      </x:c>
      <x:c r="B303" s="23" t="s">
        <x:v>651</x:v>
      </x:c>
      <x:c r="C303" s="23" t="s">
        <x:v>651</x:v>
      </x:c>
      <x:c r="D303" s="23" t="s">
        <x:v>651</x:v>
      </x:c>
      <x:c r="E303" s="23" t="s">
        <x:v>651</x:v>
      </x:c>
      <x:c r="F303" s="23" t="s">
        <x:v>651</x:v>
      </x:c>
      <x:c r="G303" s="23" t="s">
        <x:v>651</x:v>
      </x:c>
      <x:c r="H303" s="23" t="s">
        <x:v>651</x:v>
      </x:c>
      <x:c r="I303" s="23" t="s">
        <x:v>651</x:v>
      </x:c>
      <x:c r="J303" s="23" t="s">
        <x:v>651</x:v>
      </x:c>
      <x:c r="K303" s="23" t="s">
        <x:v>651</x:v>
      </x:c>
      <x:c r="L303" s="23" t="s">
        <x:v>651</x:v>
      </x:c>
      <x:c r="M303" s="23" t="s">
        <x:v>651</x:v>
      </x:c>
      <x:c r="N303" s="23" t="s">
        <x:v>651</x:v>
      </x:c>
      <x:c r="O303" s="23" t="s">
        <x:v>651</x:v>
      </x:c>
      <x:c r="P303" s="23" t="s">
        <x:v>651</x:v>
      </x:c>
      <x:c r="Q303" s="23" t="s">
        <x:v>651</x:v>
      </x:c>
      <x:c r="R303" s="23" t="s">
        <x:v>651</x:v>
      </x:c>
      <x:c r="S303" s="23" t="s">
        <x:v>651</x:v>
      </x:c>
      <x:c r="T303" s="23" t="s">
        <x:v>651</x:v>
      </x:c>
      <x:c r="U303" s="23" t="s">
        <x:v>651</x:v>
      </x:c>
      <x:c r="V303" s="23" t="s">
        <x:v>651</x:v>
      </x:c>
      <x:c r="W303" s="23" t="s">
        <x:v>651</x:v>
      </x:c>
      <x:c r="X303" s="23" t="s">
        <x:v>651</x:v>
      </x:c>
      <x:c r="Y303" s="23" t="s">
        <x:v>651</x:v>
      </x:c>
      <x:c r="Z303" s="23" t="s">
        <x:v>651</x:v>
      </x:c>
    </x:row>
    <x:row r="304" ht="15.75" customHeight="1">
      <x:c r="A304" s="23" t="s">
        <x:v>651</x:v>
      </x:c>
      <x:c r="B304" s="23" t="s">
        <x:v>651</x:v>
      </x:c>
      <x:c r="C304" s="23" t="s">
        <x:v>651</x:v>
      </x:c>
      <x:c r="D304" s="23" t="s">
        <x:v>651</x:v>
      </x:c>
      <x:c r="E304" s="23" t="s">
        <x:v>651</x:v>
      </x:c>
      <x:c r="F304" s="23" t="s">
        <x:v>651</x:v>
      </x:c>
      <x:c r="G304" s="23" t="s">
        <x:v>651</x:v>
      </x:c>
      <x:c r="H304" s="23" t="s">
        <x:v>651</x:v>
      </x:c>
      <x:c r="I304" s="23" t="s">
        <x:v>651</x:v>
      </x:c>
      <x:c r="J304" s="23" t="s">
        <x:v>651</x:v>
      </x:c>
      <x:c r="K304" s="23" t="s">
        <x:v>651</x:v>
      </x:c>
      <x:c r="L304" s="23" t="s">
        <x:v>651</x:v>
      </x:c>
      <x:c r="M304" s="23" t="s">
        <x:v>651</x:v>
      </x:c>
      <x:c r="N304" s="23" t="s">
        <x:v>651</x:v>
      </x:c>
      <x:c r="O304" s="23" t="s">
        <x:v>651</x:v>
      </x:c>
      <x:c r="P304" s="23" t="s">
        <x:v>651</x:v>
      </x:c>
      <x:c r="Q304" s="23" t="s">
        <x:v>651</x:v>
      </x:c>
      <x:c r="R304" s="23" t="s">
        <x:v>651</x:v>
      </x:c>
      <x:c r="S304" s="23" t="s">
        <x:v>651</x:v>
      </x:c>
      <x:c r="T304" s="23" t="s">
        <x:v>651</x:v>
      </x:c>
      <x:c r="U304" s="23" t="s">
        <x:v>651</x:v>
      </x:c>
      <x:c r="V304" s="23" t="s">
        <x:v>651</x:v>
      </x:c>
      <x:c r="W304" s="23" t="s">
        <x:v>651</x:v>
      </x:c>
      <x:c r="X304" s="23" t="s">
        <x:v>651</x:v>
      </x:c>
      <x:c r="Y304" s="23" t="s">
        <x:v>651</x:v>
      </x:c>
      <x:c r="Z304" s="23" t="s">
        <x:v>651</x:v>
      </x:c>
    </x:row>
    <x:row r="305" ht="15.75" customHeight="1">
      <x:c r="A305" s="23" t="s">
        <x:v>651</x:v>
      </x:c>
      <x:c r="B305" s="23" t="s">
        <x:v>651</x:v>
      </x:c>
      <x:c r="C305" s="23" t="s">
        <x:v>651</x:v>
      </x:c>
      <x:c r="D305" s="23" t="s">
        <x:v>651</x:v>
      </x:c>
      <x:c r="E305" s="23" t="s">
        <x:v>651</x:v>
      </x:c>
      <x:c r="F305" s="23" t="s">
        <x:v>651</x:v>
      </x:c>
      <x:c r="G305" s="23" t="s">
        <x:v>651</x:v>
      </x:c>
      <x:c r="H305" s="23" t="s">
        <x:v>651</x:v>
      </x:c>
      <x:c r="I305" s="23" t="s">
        <x:v>651</x:v>
      </x:c>
      <x:c r="J305" s="23" t="s">
        <x:v>651</x:v>
      </x:c>
      <x:c r="K305" s="23" t="s">
        <x:v>651</x:v>
      </x:c>
      <x:c r="L305" s="23" t="s">
        <x:v>651</x:v>
      </x:c>
      <x:c r="M305" s="23" t="s">
        <x:v>651</x:v>
      </x:c>
      <x:c r="N305" s="23" t="s">
        <x:v>651</x:v>
      </x:c>
      <x:c r="O305" s="23" t="s">
        <x:v>651</x:v>
      </x:c>
      <x:c r="P305" s="23" t="s">
        <x:v>651</x:v>
      </x:c>
      <x:c r="Q305" s="23" t="s">
        <x:v>651</x:v>
      </x:c>
      <x:c r="R305" s="23" t="s">
        <x:v>651</x:v>
      </x:c>
      <x:c r="S305" s="23" t="s">
        <x:v>651</x:v>
      </x:c>
      <x:c r="T305" s="23" t="s">
        <x:v>651</x:v>
      </x:c>
      <x:c r="U305" s="23" t="s">
        <x:v>651</x:v>
      </x:c>
      <x:c r="V305" s="23" t="s">
        <x:v>651</x:v>
      </x:c>
      <x:c r="W305" s="23" t="s">
        <x:v>651</x:v>
      </x:c>
      <x:c r="X305" s="23" t="s">
        <x:v>651</x:v>
      </x:c>
      <x:c r="Y305" s="23" t="s">
        <x:v>651</x:v>
      </x:c>
      <x:c r="Z305" s="23" t="s">
        <x:v>651</x:v>
      </x:c>
    </x:row>
    <x:row r="306" ht="15.75" customHeight="1">
      <x:c r="A306" s="23" t="s">
        <x:v>651</x:v>
      </x:c>
      <x:c r="B306" s="23" t="s">
        <x:v>651</x:v>
      </x:c>
      <x:c r="C306" s="23" t="s">
        <x:v>651</x:v>
      </x:c>
      <x:c r="D306" s="23" t="s">
        <x:v>651</x:v>
      </x:c>
      <x:c r="E306" s="23" t="s">
        <x:v>651</x:v>
      </x:c>
      <x:c r="F306" s="23" t="s">
        <x:v>651</x:v>
      </x:c>
      <x:c r="G306" s="23" t="s">
        <x:v>651</x:v>
      </x:c>
      <x:c r="H306" s="23" t="s">
        <x:v>651</x:v>
      </x:c>
      <x:c r="I306" s="23" t="s">
        <x:v>651</x:v>
      </x:c>
      <x:c r="J306" s="23" t="s">
        <x:v>651</x:v>
      </x:c>
      <x:c r="K306" s="23" t="s">
        <x:v>651</x:v>
      </x:c>
      <x:c r="L306" s="23" t="s">
        <x:v>651</x:v>
      </x:c>
      <x:c r="M306" s="23" t="s">
        <x:v>651</x:v>
      </x:c>
      <x:c r="N306" s="23" t="s">
        <x:v>651</x:v>
      </x:c>
      <x:c r="O306" s="23" t="s">
        <x:v>651</x:v>
      </x:c>
      <x:c r="P306" s="23" t="s">
        <x:v>651</x:v>
      </x:c>
      <x:c r="Q306" s="23" t="s">
        <x:v>651</x:v>
      </x:c>
      <x:c r="R306" s="23" t="s">
        <x:v>651</x:v>
      </x:c>
      <x:c r="S306" s="23" t="s">
        <x:v>651</x:v>
      </x:c>
      <x:c r="T306" s="23" t="s">
        <x:v>651</x:v>
      </x:c>
      <x:c r="U306" s="23" t="s">
        <x:v>651</x:v>
      </x:c>
      <x:c r="V306" s="23" t="s">
        <x:v>651</x:v>
      </x:c>
      <x:c r="W306" s="23" t="s">
        <x:v>651</x:v>
      </x:c>
      <x:c r="X306" s="23" t="s">
        <x:v>651</x:v>
      </x:c>
      <x:c r="Y306" s="23" t="s">
        <x:v>651</x:v>
      </x:c>
      <x:c r="Z306" s="23" t="s">
        <x:v>651</x:v>
      </x:c>
    </x:row>
    <x:row r="307" ht="15.75" customHeight="1">
      <x:c r="A307" s="23" t="s">
        <x:v>651</x:v>
      </x:c>
      <x:c r="B307" s="23" t="s">
        <x:v>651</x:v>
      </x:c>
      <x:c r="C307" s="23" t="s">
        <x:v>651</x:v>
      </x:c>
      <x:c r="D307" s="23" t="s">
        <x:v>651</x:v>
      </x:c>
      <x:c r="E307" s="23" t="s">
        <x:v>651</x:v>
      </x:c>
      <x:c r="F307" s="23" t="s">
        <x:v>651</x:v>
      </x:c>
      <x:c r="G307" s="23" t="s">
        <x:v>651</x:v>
      </x:c>
      <x:c r="H307" s="23" t="s">
        <x:v>651</x:v>
      </x:c>
      <x:c r="I307" s="23" t="s">
        <x:v>651</x:v>
      </x:c>
      <x:c r="J307" s="23" t="s">
        <x:v>651</x:v>
      </x:c>
      <x:c r="K307" s="23" t="s">
        <x:v>651</x:v>
      </x:c>
      <x:c r="L307" s="23" t="s">
        <x:v>651</x:v>
      </x:c>
      <x:c r="M307" s="23" t="s">
        <x:v>651</x:v>
      </x:c>
      <x:c r="N307" s="23" t="s">
        <x:v>651</x:v>
      </x:c>
      <x:c r="O307" s="23" t="s">
        <x:v>651</x:v>
      </x:c>
      <x:c r="P307" s="23" t="s">
        <x:v>651</x:v>
      </x:c>
      <x:c r="Q307" s="23" t="s">
        <x:v>651</x:v>
      </x:c>
      <x:c r="R307" s="23" t="s">
        <x:v>651</x:v>
      </x:c>
      <x:c r="S307" s="23" t="s">
        <x:v>651</x:v>
      </x:c>
      <x:c r="T307" s="23" t="s">
        <x:v>651</x:v>
      </x:c>
      <x:c r="U307" s="23" t="s">
        <x:v>651</x:v>
      </x:c>
      <x:c r="V307" s="23" t="s">
        <x:v>651</x:v>
      </x:c>
      <x:c r="W307" s="23" t="s">
        <x:v>651</x:v>
      </x:c>
      <x:c r="X307" s="23" t="s">
        <x:v>651</x:v>
      </x:c>
      <x:c r="Y307" s="23" t="s">
        <x:v>651</x:v>
      </x:c>
      <x:c r="Z307" s="23" t="s">
        <x:v>651</x:v>
      </x:c>
    </x:row>
    <x:row r="308" ht="15.75" customHeight="1">
      <x:c r="A308" s="23" t="s">
        <x:v>651</x:v>
      </x:c>
      <x:c r="B308" s="23" t="s">
        <x:v>651</x:v>
      </x:c>
      <x:c r="C308" s="23" t="s">
        <x:v>651</x:v>
      </x:c>
      <x:c r="D308" s="23" t="s">
        <x:v>651</x:v>
      </x:c>
      <x:c r="E308" s="23" t="s">
        <x:v>651</x:v>
      </x:c>
      <x:c r="F308" s="23" t="s">
        <x:v>651</x:v>
      </x:c>
      <x:c r="G308" s="23" t="s">
        <x:v>651</x:v>
      </x:c>
      <x:c r="H308" s="23" t="s">
        <x:v>651</x:v>
      </x:c>
      <x:c r="I308" s="23" t="s">
        <x:v>651</x:v>
      </x:c>
      <x:c r="J308" s="23" t="s">
        <x:v>651</x:v>
      </x:c>
      <x:c r="K308" s="23" t="s">
        <x:v>651</x:v>
      </x:c>
      <x:c r="L308" s="23" t="s">
        <x:v>651</x:v>
      </x:c>
      <x:c r="M308" s="23" t="s">
        <x:v>651</x:v>
      </x:c>
      <x:c r="N308" s="23" t="s">
        <x:v>651</x:v>
      </x:c>
      <x:c r="O308" s="23" t="s">
        <x:v>651</x:v>
      </x:c>
      <x:c r="P308" s="23" t="s">
        <x:v>651</x:v>
      </x:c>
      <x:c r="Q308" s="23" t="s">
        <x:v>651</x:v>
      </x:c>
      <x:c r="R308" s="23" t="s">
        <x:v>651</x:v>
      </x:c>
      <x:c r="S308" s="23" t="s">
        <x:v>651</x:v>
      </x:c>
      <x:c r="T308" s="23" t="s">
        <x:v>651</x:v>
      </x:c>
      <x:c r="U308" s="23" t="s">
        <x:v>651</x:v>
      </x:c>
      <x:c r="V308" s="23" t="s">
        <x:v>651</x:v>
      </x:c>
      <x:c r="W308" s="23" t="s">
        <x:v>651</x:v>
      </x:c>
      <x:c r="X308" s="23" t="s">
        <x:v>651</x:v>
      </x:c>
      <x:c r="Y308" s="23" t="s">
        <x:v>651</x:v>
      </x:c>
      <x:c r="Z308" s="23" t="s">
        <x:v>651</x:v>
      </x:c>
    </x:row>
    <x:row r="309" ht="15.75" customHeight="1">
      <x:c r="A309" s="23" t="s">
        <x:v>651</x:v>
      </x:c>
      <x:c r="B309" s="23" t="s">
        <x:v>651</x:v>
      </x:c>
      <x:c r="C309" s="23" t="s">
        <x:v>651</x:v>
      </x:c>
      <x:c r="D309" s="23" t="s">
        <x:v>651</x:v>
      </x:c>
      <x:c r="E309" s="23" t="s">
        <x:v>651</x:v>
      </x:c>
      <x:c r="F309" s="23" t="s">
        <x:v>651</x:v>
      </x:c>
      <x:c r="G309" s="23" t="s">
        <x:v>651</x:v>
      </x:c>
      <x:c r="H309" s="23" t="s">
        <x:v>651</x:v>
      </x:c>
      <x:c r="I309" s="23" t="s">
        <x:v>651</x:v>
      </x:c>
      <x:c r="J309" s="23" t="s">
        <x:v>651</x:v>
      </x:c>
      <x:c r="K309" s="23" t="s">
        <x:v>651</x:v>
      </x:c>
      <x:c r="L309" s="23" t="s">
        <x:v>651</x:v>
      </x:c>
      <x:c r="M309" s="23" t="s">
        <x:v>651</x:v>
      </x:c>
      <x:c r="N309" s="23" t="s">
        <x:v>651</x:v>
      </x:c>
      <x:c r="O309" s="23" t="s">
        <x:v>651</x:v>
      </x:c>
      <x:c r="P309" s="23" t="s">
        <x:v>651</x:v>
      </x:c>
      <x:c r="Q309" s="23" t="s">
        <x:v>651</x:v>
      </x:c>
      <x:c r="R309" s="23" t="s">
        <x:v>651</x:v>
      </x:c>
      <x:c r="S309" s="23" t="s">
        <x:v>651</x:v>
      </x:c>
      <x:c r="T309" s="23" t="s">
        <x:v>651</x:v>
      </x:c>
      <x:c r="U309" s="23" t="s">
        <x:v>651</x:v>
      </x:c>
      <x:c r="V309" s="23" t="s">
        <x:v>651</x:v>
      </x:c>
      <x:c r="W309" s="23" t="s">
        <x:v>651</x:v>
      </x:c>
      <x:c r="X309" s="23" t="s">
        <x:v>651</x:v>
      </x:c>
      <x:c r="Y309" s="23" t="s">
        <x:v>651</x:v>
      </x:c>
      <x:c r="Z309" s="23" t="s">
        <x:v>651</x:v>
      </x:c>
    </x:row>
    <x:row r="310" ht="15.75" customHeight="1">
      <x:c r="A310" s="23" t="s">
        <x:v>651</x:v>
      </x:c>
      <x:c r="B310" s="23" t="s">
        <x:v>651</x:v>
      </x:c>
      <x:c r="C310" s="23" t="s">
        <x:v>651</x:v>
      </x:c>
      <x:c r="D310" s="23" t="s">
        <x:v>651</x:v>
      </x:c>
      <x:c r="E310" s="23" t="s">
        <x:v>651</x:v>
      </x:c>
      <x:c r="F310" s="23" t="s">
        <x:v>651</x:v>
      </x:c>
      <x:c r="G310" s="23" t="s">
        <x:v>651</x:v>
      </x:c>
      <x:c r="H310" s="23" t="s">
        <x:v>651</x:v>
      </x:c>
      <x:c r="I310" s="23" t="s">
        <x:v>651</x:v>
      </x:c>
      <x:c r="J310" s="23" t="s">
        <x:v>651</x:v>
      </x:c>
      <x:c r="K310" s="23" t="s">
        <x:v>651</x:v>
      </x:c>
      <x:c r="L310" s="23" t="s">
        <x:v>651</x:v>
      </x:c>
      <x:c r="M310" s="23" t="s">
        <x:v>651</x:v>
      </x:c>
      <x:c r="N310" s="23" t="s">
        <x:v>651</x:v>
      </x:c>
      <x:c r="O310" s="23" t="s">
        <x:v>651</x:v>
      </x:c>
      <x:c r="P310" s="23" t="s">
        <x:v>651</x:v>
      </x:c>
      <x:c r="Q310" s="23" t="s">
        <x:v>651</x:v>
      </x:c>
      <x:c r="R310" s="23" t="s">
        <x:v>651</x:v>
      </x:c>
      <x:c r="S310" s="23" t="s">
        <x:v>651</x:v>
      </x:c>
      <x:c r="T310" s="23" t="s">
        <x:v>651</x:v>
      </x:c>
      <x:c r="U310" s="23" t="s">
        <x:v>651</x:v>
      </x:c>
      <x:c r="V310" s="23" t="s">
        <x:v>651</x:v>
      </x:c>
      <x:c r="W310" s="23" t="s">
        <x:v>651</x:v>
      </x:c>
      <x:c r="X310" s="23" t="s">
        <x:v>651</x:v>
      </x:c>
      <x:c r="Y310" s="23" t="s">
        <x:v>651</x:v>
      </x:c>
      <x:c r="Z310" s="23" t="s">
        <x:v>651</x:v>
      </x:c>
    </x:row>
    <x:row r="311" ht="15.75" customHeight="1">
      <x:c r="A311" s="23" t="s">
        <x:v>651</x:v>
      </x:c>
      <x:c r="B311" s="23" t="s">
        <x:v>651</x:v>
      </x:c>
      <x:c r="C311" s="23" t="s">
        <x:v>651</x:v>
      </x:c>
      <x:c r="D311" s="23" t="s">
        <x:v>651</x:v>
      </x:c>
      <x:c r="E311" s="23" t="s">
        <x:v>651</x:v>
      </x:c>
      <x:c r="F311" s="23" t="s">
        <x:v>651</x:v>
      </x:c>
      <x:c r="G311" s="23" t="s">
        <x:v>651</x:v>
      </x:c>
      <x:c r="H311" s="23" t="s">
        <x:v>651</x:v>
      </x:c>
      <x:c r="I311" s="23" t="s">
        <x:v>651</x:v>
      </x:c>
      <x:c r="J311" s="23" t="s">
        <x:v>651</x:v>
      </x:c>
      <x:c r="K311" s="23" t="s">
        <x:v>651</x:v>
      </x:c>
      <x:c r="L311" s="23" t="s">
        <x:v>651</x:v>
      </x:c>
      <x:c r="M311" s="23" t="s">
        <x:v>651</x:v>
      </x:c>
      <x:c r="N311" s="23" t="s">
        <x:v>651</x:v>
      </x:c>
      <x:c r="O311" s="23" t="s">
        <x:v>651</x:v>
      </x:c>
      <x:c r="P311" s="23" t="s">
        <x:v>651</x:v>
      </x:c>
      <x:c r="Q311" s="23" t="s">
        <x:v>651</x:v>
      </x:c>
      <x:c r="R311" s="23" t="s">
        <x:v>651</x:v>
      </x:c>
      <x:c r="S311" s="23" t="s">
        <x:v>651</x:v>
      </x:c>
      <x:c r="T311" s="23" t="s">
        <x:v>651</x:v>
      </x:c>
      <x:c r="U311" s="23" t="s">
        <x:v>651</x:v>
      </x:c>
      <x:c r="V311" s="23" t="s">
        <x:v>651</x:v>
      </x:c>
      <x:c r="W311" s="23" t="s">
        <x:v>651</x:v>
      </x:c>
      <x:c r="X311" s="23" t="s">
        <x:v>651</x:v>
      </x:c>
      <x:c r="Y311" s="23" t="s">
        <x:v>651</x:v>
      </x:c>
      <x:c r="Z311" s="23" t="s">
        <x:v>651</x:v>
      </x:c>
    </x:row>
    <x:row r="312" ht="15.75" customHeight="1">
      <x:c r="A312" s="23" t="s">
        <x:v>651</x:v>
      </x:c>
      <x:c r="B312" s="23" t="s">
        <x:v>651</x:v>
      </x:c>
      <x:c r="C312" s="23" t="s">
        <x:v>651</x:v>
      </x:c>
      <x:c r="D312" s="23" t="s">
        <x:v>651</x:v>
      </x:c>
      <x:c r="E312" s="23" t="s">
        <x:v>651</x:v>
      </x:c>
      <x:c r="F312" s="23" t="s">
        <x:v>651</x:v>
      </x:c>
      <x:c r="G312" s="23" t="s">
        <x:v>651</x:v>
      </x:c>
      <x:c r="H312" s="23" t="s">
        <x:v>651</x:v>
      </x:c>
      <x:c r="I312" s="23" t="s">
        <x:v>651</x:v>
      </x:c>
      <x:c r="J312" s="23" t="s">
        <x:v>651</x:v>
      </x:c>
      <x:c r="K312" s="23" t="s">
        <x:v>651</x:v>
      </x:c>
      <x:c r="L312" s="23" t="s">
        <x:v>651</x:v>
      </x:c>
      <x:c r="M312" s="23" t="s">
        <x:v>651</x:v>
      </x:c>
      <x:c r="N312" s="23" t="s">
        <x:v>651</x:v>
      </x:c>
      <x:c r="O312" s="23" t="s">
        <x:v>651</x:v>
      </x:c>
      <x:c r="P312" s="23" t="s">
        <x:v>651</x:v>
      </x:c>
      <x:c r="Q312" s="23" t="s">
        <x:v>651</x:v>
      </x:c>
      <x:c r="R312" s="23" t="s">
        <x:v>651</x:v>
      </x:c>
      <x:c r="S312" s="23" t="s">
        <x:v>651</x:v>
      </x:c>
      <x:c r="T312" s="23" t="s">
        <x:v>651</x:v>
      </x:c>
      <x:c r="U312" s="23" t="s">
        <x:v>651</x:v>
      </x:c>
      <x:c r="V312" s="23" t="s">
        <x:v>651</x:v>
      </x:c>
      <x:c r="W312" s="23" t="s">
        <x:v>651</x:v>
      </x:c>
      <x:c r="X312" s="23" t="s">
        <x:v>651</x:v>
      </x:c>
      <x:c r="Y312" s="23" t="s">
        <x:v>651</x:v>
      </x:c>
      <x:c r="Z312" s="23" t="s">
        <x:v>651</x:v>
      </x:c>
    </x:row>
    <x:row r="313" ht="15.75" customHeight="1">
      <x:c r="A313" s="23" t="s">
        <x:v>651</x:v>
      </x:c>
      <x:c r="B313" s="23" t="s">
        <x:v>651</x:v>
      </x:c>
      <x:c r="C313" s="23" t="s">
        <x:v>651</x:v>
      </x:c>
      <x:c r="D313" s="23" t="s">
        <x:v>651</x:v>
      </x:c>
      <x:c r="E313" s="23" t="s">
        <x:v>651</x:v>
      </x:c>
      <x:c r="F313" s="23" t="s">
        <x:v>651</x:v>
      </x:c>
      <x:c r="G313" s="23" t="s">
        <x:v>651</x:v>
      </x:c>
      <x:c r="H313" s="23" t="s">
        <x:v>651</x:v>
      </x:c>
      <x:c r="I313" s="23" t="s">
        <x:v>651</x:v>
      </x:c>
      <x:c r="J313" s="23" t="s">
        <x:v>651</x:v>
      </x:c>
      <x:c r="K313" s="23" t="s">
        <x:v>651</x:v>
      </x:c>
      <x:c r="L313" s="23" t="s">
        <x:v>651</x:v>
      </x:c>
      <x:c r="M313" s="23" t="s">
        <x:v>651</x:v>
      </x:c>
      <x:c r="N313" s="23" t="s">
        <x:v>651</x:v>
      </x:c>
      <x:c r="O313" s="23" t="s">
        <x:v>651</x:v>
      </x:c>
      <x:c r="P313" s="23" t="s">
        <x:v>651</x:v>
      </x:c>
      <x:c r="Q313" s="23" t="s">
        <x:v>651</x:v>
      </x:c>
      <x:c r="R313" s="23" t="s">
        <x:v>651</x:v>
      </x:c>
      <x:c r="S313" s="23" t="s">
        <x:v>651</x:v>
      </x:c>
      <x:c r="T313" s="23" t="s">
        <x:v>651</x:v>
      </x:c>
      <x:c r="U313" s="23" t="s">
        <x:v>651</x:v>
      </x:c>
      <x:c r="V313" s="23" t="s">
        <x:v>651</x:v>
      </x:c>
      <x:c r="W313" s="23" t="s">
        <x:v>651</x:v>
      </x:c>
      <x:c r="X313" s="23" t="s">
        <x:v>651</x:v>
      </x:c>
      <x:c r="Y313" s="23" t="s">
        <x:v>651</x:v>
      </x:c>
      <x:c r="Z313" s="23" t="s">
        <x:v>651</x:v>
      </x:c>
    </x:row>
    <x:row r="314" ht="15.75" customHeight="1">
      <x:c r="A314" s="23" t="s">
        <x:v>651</x:v>
      </x:c>
      <x:c r="B314" s="23" t="s">
        <x:v>651</x:v>
      </x:c>
      <x:c r="C314" s="23" t="s">
        <x:v>651</x:v>
      </x:c>
      <x:c r="D314" s="23" t="s">
        <x:v>651</x:v>
      </x:c>
      <x:c r="E314" s="23" t="s">
        <x:v>651</x:v>
      </x:c>
      <x:c r="F314" s="23" t="s">
        <x:v>651</x:v>
      </x:c>
      <x:c r="G314" s="23" t="s">
        <x:v>651</x:v>
      </x:c>
      <x:c r="H314" s="23" t="s">
        <x:v>651</x:v>
      </x:c>
      <x:c r="I314" s="23" t="s">
        <x:v>651</x:v>
      </x:c>
      <x:c r="J314" s="23" t="s">
        <x:v>651</x:v>
      </x:c>
      <x:c r="K314" s="23" t="s">
        <x:v>651</x:v>
      </x:c>
      <x:c r="L314" s="23" t="s">
        <x:v>651</x:v>
      </x:c>
      <x:c r="M314" s="23" t="s">
        <x:v>651</x:v>
      </x:c>
      <x:c r="N314" s="23" t="s">
        <x:v>651</x:v>
      </x:c>
      <x:c r="O314" s="23" t="s">
        <x:v>651</x:v>
      </x:c>
      <x:c r="P314" s="23" t="s">
        <x:v>651</x:v>
      </x:c>
      <x:c r="Q314" s="23" t="s">
        <x:v>651</x:v>
      </x:c>
      <x:c r="R314" s="23" t="s">
        <x:v>651</x:v>
      </x:c>
      <x:c r="S314" s="23" t="s">
        <x:v>651</x:v>
      </x:c>
      <x:c r="T314" s="23" t="s">
        <x:v>651</x:v>
      </x:c>
      <x:c r="U314" s="23" t="s">
        <x:v>651</x:v>
      </x:c>
      <x:c r="V314" s="23" t="s">
        <x:v>651</x:v>
      </x:c>
      <x:c r="W314" s="23" t="s">
        <x:v>651</x:v>
      </x:c>
      <x:c r="X314" s="23" t="s">
        <x:v>651</x:v>
      </x:c>
      <x:c r="Y314" s="23" t="s">
        <x:v>651</x:v>
      </x:c>
      <x:c r="Z314" s="23" t="s">
        <x:v>651</x:v>
      </x:c>
    </x:row>
    <x:row r="315" ht="15.75" customHeight="1">
      <x:c r="A315" s="23" t="s">
        <x:v>651</x:v>
      </x:c>
      <x:c r="B315" s="23" t="s">
        <x:v>651</x:v>
      </x:c>
      <x:c r="C315" s="23" t="s">
        <x:v>651</x:v>
      </x:c>
      <x:c r="D315" s="23" t="s">
        <x:v>651</x:v>
      </x:c>
      <x:c r="E315" s="23" t="s">
        <x:v>651</x:v>
      </x:c>
      <x:c r="F315" s="23" t="s">
        <x:v>651</x:v>
      </x:c>
      <x:c r="G315" s="23" t="s">
        <x:v>651</x:v>
      </x:c>
      <x:c r="H315" s="23" t="s">
        <x:v>651</x:v>
      </x:c>
      <x:c r="I315" s="23" t="s">
        <x:v>651</x:v>
      </x:c>
      <x:c r="J315" s="23" t="s">
        <x:v>651</x:v>
      </x:c>
      <x:c r="K315" s="23" t="s">
        <x:v>651</x:v>
      </x:c>
      <x:c r="L315" s="23" t="s">
        <x:v>651</x:v>
      </x:c>
      <x:c r="M315" s="23" t="s">
        <x:v>651</x:v>
      </x:c>
      <x:c r="N315" s="23" t="s">
        <x:v>651</x:v>
      </x:c>
      <x:c r="O315" s="23" t="s">
        <x:v>651</x:v>
      </x:c>
      <x:c r="P315" s="23" t="s">
        <x:v>651</x:v>
      </x:c>
      <x:c r="Q315" s="23" t="s">
        <x:v>651</x:v>
      </x:c>
      <x:c r="R315" s="23" t="s">
        <x:v>651</x:v>
      </x:c>
      <x:c r="S315" s="23" t="s">
        <x:v>651</x:v>
      </x:c>
      <x:c r="T315" s="23" t="s">
        <x:v>651</x:v>
      </x:c>
      <x:c r="U315" s="23" t="s">
        <x:v>651</x:v>
      </x:c>
      <x:c r="V315" s="23" t="s">
        <x:v>651</x:v>
      </x:c>
      <x:c r="W315" s="23" t="s">
        <x:v>651</x:v>
      </x:c>
      <x:c r="X315" s="23" t="s">
        <x:v>651</x:v>
      </x:c>
      <x:c r="Y315" s="23" t="s">
        <x:v>651</x:v>
      </x:c>
      <x:c r="Z315" s="23" t="s">
        <x:v>651</x:v>
      </x:c>
    </x:row>
    <x:row r="316" ht="15.75" customHeight="1">
      <x:c r="A316" s="23" t="s">
        <x:v>651</x:v>
      </x:c>
      <x:c r="B316" s="23" t="s">
        <x:v>651</x:v>
      </x:c>
      <x:c r="C316" s="23" t="s">
        <x:v>651</x:v>
      </x:c>
      <x:c r="D316" s="23" t="s">
        <x:v>651</x:v>
      </x:c>
      <x:c r="E316" s="23" t="s">
        <x:v>651</x:v>
      </x:c>
      <x:c r="F316" s="23" t="s">
        <x:v>651</x:v>
      </x:c>
      <x:c r="G316" s="23" t="s">
        <x:v>651</x:v>
      </x:c>
      <x:c r="H316" s="23" t="s">
        <x:v>651</x:v>
      </x:c>
      <x:c r="I316" s="23" t="s">
        <x:v>651</x:v>
      </x:c>
      <x:c r="J316" s="23" t="s">
        <x:v>651</x:v>
      </x:c>
      <x:c r="K316" s="23" t="s">
        <x:v>651</x:v>
      </x:c>
      <x:c r="L316" s="23" t="s">
        <x:v>651</x:v>
      </x:c>
      <x:c r="M316" s="23" t="s">
        <x:v>651</x:v>
      </x:c>
      <x:c r="N316" s="23" t="s">
        <x:v>651</x:v>
      </x:c>
      <x:c r="O316" s="23" t="s">
        <x:v>651</x:v>
      </x:c>
      <x:c r="P316" s="23" t="s">
        <x:v>651</x:v>
      </x:c>
      <x:c r="Q316" s="23" t="s">
        <x:v>651</x:v>
      </x:c>
      <x:c r="R316" s="23" t="s">
        <x:v>651</x:v>
      </x:c>
      <x:c r="S316" s="23" t="s">
        <x:v>651</x:v>
      </x:c>
      <x:c r="T316" s="23" t="s">
        <x:v>651</x:v>
      </x:c>
      <x:c r="U316" s="23" t="s">
        <x:v>651</x:v>
      </x:c>
      <x:c r="V316" s="23" t="s">
        <x:v>651</x:v>
      </x:c>
      <x:c r="W316" s="23" t="s">
        <x:v>651</x:v>
      </x:c>
      <x:c r="X316" s="23" t="s">
        <x:v>651</x:v>
      </x:c>
      <x:c r="Y316" s="23" t="s">
        <x:v>651</x:v>
      </x:c>
      <x:c r="Z316" s="23" t="s">
        <x:v>651</x:v>
      </x:c>
    </x:row>
    <x:row r="317" ht="15.75" customHeight="1">
      <x:c r="A317" s="23" t="s">
        <x:v>651</x:v>
      </x:c>
      <x:c r="B317" s="23" t="s">
        <x:v>651</x:v>
      </x:c>
      <x:c r="C317" s="23" t="s">
        <x:v>651</x:v>
      </x:c>
      <x:c r="D317" s="23" t="s">
        <x:v>651</x:v>
      </x:c>
      <x:c r="E317" s="23" t="s">
        <x:v>651</x:v>
      </x:c>
      <x:c r="F317" s="23" t="s">
        <x:v>651</x:v>
      </x:c>
      <x:c r="G317" s="23" t="s">
        <x:v>651</x:v>
      </x:c>
      <x:c r="H317" s="23" t="s">
        <x:v>651</x:v>
      </x:c>
      <x:c r="I317" s="23" t="s">
        <x:v>651</x:v>
      </x:c>
      <x:c r="J317" s="23" t="s">
        <x:v>651</x:v>
      </x:c>
      <x:c r="K317" s="23" t="s">
        <x:v>651</x:v>
      </x:c>
      <x:c r="L317" s="23" t="s">
        <x:v>651</x:v>
      </x:c>
      <x:c r="M317" s="23" t="s">
        <x:v>651</x:v>
      </x:c>
      <x:c r="N317" s="23" t="s">
        <x:v>651</x:v>
      </x:c>
      <x:c r="O317" s="23" t="s">
        <x:v>651</x:v>
      </x:c>
      <x:c r="P317" s="23" t="s">
        <x:v>651</x:v>
      </x:c>
      <x:c r="Q317" s="23" t="s">
        <x:v>651</x:v>
      </x:c>
      <x:c r="R317" s="23" t="s">
        <x:v>651</x:v>
      </x:c>
      <x:c r="S317" s="23" t="s">
        <x:v>651</x:v>
      </x:c>
      <x:c r="T317" s="23" t="s">
        <x:v>651</x:v>
      </x:c>
      <x:c r="U317" s="23" t="s">
        <x:v>651</x:v>
      </x:c>
      <x:c r="V317" s="23" t="s">
        <x:v>651</x:v>
      </x:c>
      <x:c r="W317" s="23" t="s">
        <x:v>651</x:v>
      </x:c>
      <x:c r="X317" s="23" t="s">
        <x:v>651</x:v>
      </x:c>
      <x:c r="Y317" s="23" t="s">
        <x:v>651</x:v>
      </x:c>
      <x:c r="Z317" s="23" t="s">
        <x:v>651</x:v>
      </x:c>
    </x:row>
    <x:row r="318" ht="15.75" customHeight="1">
      <x:c r="A318" s="23" t="s">
        <x:v>651</x:v>
      </x:c>
      <x:c r="B318" s="23" t="s">
        <x:v>651</x:v>
      </x:c>
      <x:c r="C318" s="23" t="s">
        <x:v>651</x:v>
      </x:c>
      <x:c r="D318" s="23" t="s">
        <x:v>651</x:v>
      </x:c>
      <x:c r="E318" s="23" t="s">
        <x:v>651</x:v>
      </x:c>
      <x:c r="F318" s="23" t="s">
        <x:v>651</x:v>
      </x:c>
      <x:c r="G318" s="23" t="s">
        <x:v>651</x:v>
      </x:c>
      <x:c r="H318" s="23" t="s">
        <x:v>651</x:v>
      </x:c>
      <x:c r="I318" s="23" t="s">
        <x:v>651</x:v>
      </x:c>
      <x:c r="J318" s="23" t="s">
        <x:v>651</x:v>
      </x:c>
      <x:c r="K318" s="23" t="s">
        <x:v>651</x:v>
      </x:c>
      <x:c r="L318" s="23" t="s">
        <x:v>651</x:v>
      </x:c>
      <x:c r="M318" s="23" t="s">
        <x:v>651</x:v>
      </x:c>
      <x:c r="N318" s="23" t="s">
        <x:v>651</x:v>
      </x:c>
      <x:c r="O318" s="23" t="s">
        <x:v>651</x:v>
      </x:c>
      <x:c r="P318" s="23" t="s">
        <x:v>651</x:v>
      </x:c>
      <x:c r="Q318" s="23" t="s">
        <x:v>651</x:v>
      </x:c>
      <x:c r="R318" s="23" t="s">
        <x:v>651</x:v>
      </x:c>
      <x:c r="S318" s="23" t="s">
        <x:v>651</x:v>
      </x:c>
      <x:c r="T318" s="23" t="s">
        <x:v>651</x:v>
      </x:c>
      <x:c r="U318" s="23" t="s">
        <x:v>651</x:v>
      </x:c>
      <x:c r="V318" s="23" t="s">
        <x:v>651</x:v>
      </x:c>
      <x:c r="W318" s="23" t="s">
        <x:v>651</x:v>
      </x:c>
      <x:c r="X318" s="23" t="s">
        <x:v>651</x:v>
      </x:c>
      <x:c r="Y318" s="23" t="s">
        <x:v>651</x:v>
      </x:c>
      <x:c r="Z318" s="23" t="s">
        <x:v>651</x:v>
      </x:c>
    </x:row>
    <x:row r="319" ht="15.75" customHeight="1">
      <x:c r="A319" s="23" t="s">
        <x:v>651</x:v>
      </x:c>
      <x:c r="B319" s="23" t="s">
        <x:v>651</x:v>
      </x:c>
      <x:c r="C319" s="23" t="s">
        <x:v>651</x:v>
      </x:c>
      <x:c r="D319" s="23" t="s">
        <x:v>651</x:v>
      </x:c>
      <x:c r="E319" s="23" t="s">
        <x:v>651</x:v>
      </x:c>
      <x:c r="F319" s="23" t="s">
        <x:v>651</x:v>
      </x:c>
      <x:c r="G319" s="23" t="s">
        <x:v>651</x:v>
      </x:c>
      <x:c r="H319" s="23" t="s">
        <x:v>651</x:v>
      </x:c>
      <x:c r="I319" s="23" t="s">
        <x:v>651</x:v>
      </x:c>
      <x:c r="J319" s="23" t="s">
        <x:v>651</x:v>
      </x:c>
      <x:c r="K319" s="23" t="s">
        <x:v>651</x:v>
      </x:c>
      <x:c r="L319" s="23" t="s">
        <x:v>651</x:v>
      </x:c>
      <x:c r="M319" s="23" t="s">
        <x:v>651</x:v>
      </x:c>
      <x:c r="N319" s="23" t="s">
        <x:v>651</x:v>
      </x:c>
      <x:c r="O319" s="23" t="s">
        <x:v>651</x:v>
      </x:c>
      <x:c r="P319" s="23" t="s">
        <x:v>651</x:v>
      </x:c>
      <x:c r="Q319" s="23" t="s">
        <x:v>651</x:v>
      </x:c>
      <x:c r="R319" s="23" t="s">
        <x:v>651</x:v>
      </x:c>
      <x:c r="S319" s="23" t="s">
        <x:v>651</x:v>
      </x:c>
      <x:c r="T319" s="23" t="s">
        <x:v>651</x:v>
      </x:c>
      <x:c r="U319" s="23" t="s">
        <x:v>651</x:v>
      </x:c>
      <x:c r="V319" s="23" t="s">
        <x:v>651</x:v>
      </x:c>
      <x:c r="W319" s="23" t="s">
        <x:v>651</x:v>
      </x:c>
      <x:c r="X319" s="23" t="s">
        <x:v>651</x:v>
      </x:c>
      <x:c r="Y319" s="23" t="s">
        <x:v>651</x:v>
      </x:c>
      <x:c r="Z319" s="23" t="s">
        <x:v>651</x:v>
      </x:c>
    </x:row>
    <x:row r="320" ht="15.75" customHeight="1">
      <x:c r="A320" s="23" t="s">
        <x:v>651</x:v>
      </x:c>
      <x:c r="B320" s="23" t="s">
        <x:v>651</x:v>
      </x:c>
      <x:c r="C320" s="23" t="s">
        <x:v>651</x:v>
      </x:c>
      <x:c r="D320" s="23" t="s">
        <x:v>651</x:v>
      </x:c>
      <x:c r="E320" s="23" t="s">
        <x:v>651</x:v>
      </x:c>
      <x:c r="F320" s="23" t="s">
        <x:v>651</x:v>
      </x:c>
      <x:c r="G320" s="23" t="s">
        <x:v>651</x:v>
      </x:c>
      <x:c r="H320" s="23" t="s">
        <x:v>651</x:v>
      </x:c>
      <x:c r="I320" s="23" t="s">
        <x:v>651</x:v>
      </x:c>
      <x:c r="J320" s="23" t="s">
        <x:v>651</x:v>
      </x:c>
      <x:c r="K320" s="23" t="s">
        <x:v>651</x:v>
      </x:c>
      <x:c r="L320" s="23" t="s">
        <x:v>651</x:v>
      </x:c>
      <x:c r="M320" s="23" t="s">
        <x:v>651</x:v>
      </x:c>
      <x:c r="N320" s="23" t="s">
        <x:v>651</x:v>
      </x:c>
      <x:c r="O320" s="23" t="s">
        <x:v>651</x:v>
      </x:c>
      <x:c r="P320" s="23" t="s">
        <x:v>651</x:v>
      </x:c>
      <x:c r="Q320" s="23" t="s">
        <x:v>651</x:v>
      </x:c>
      <x:c r="R320" s="23" t="s">
        <x:v>651</x:v>
      </x:c>
      <x:c r="S320" s="23" t="s">
        <x:v>651</x:v>
      </x:c>
      <x:c r="T320" s="23" t="s">
        <x:v>651</x:v>
      </x:c>
      <x:c r="U320" s="23" t="s">
        <x:v>651</x:v>
      </x:c>
      <x:c r="V320" s="23" t="s">
        <x:v>651</x:v>
      </x:c>
      <x:c r="W320" s="23" t="s">
        <x:v>651</x:v>
      </x:c>
      <x:c r="X320" s="23" t="s">
        <x:v>651</x:v>
      </x:c>
      <x:c r="Y320" s="23" t="s">
        <x:v>651</x:v>
      </x:c>
      <x:c r="Z320" s="23" t="s">
        <x:v>651</x:v>
      </x:c>
    </x:row>
    <x:row r="321" ht="15.75" customHeight="1">
      <x:c r="A321" s="23" t="s">
        <x:v>651</x:v>
      </x:c>
      <x:c r="B321" s="23" t="s">
        <x:v>651</x:v>
      </x:c>
      <x:c r="C321" s="23" t="s">
        <x:v>651</x:v>
      </x:c>
      <x:c r="D321" s="23" t="s">
        <x:v>651</x:v>
      </x:c>
      <x:c r="E321" s="23" t="s">
        <x:v>651</x:v>
      </x:c>
      <x:c r="F321" s="23" t="s">
        <x:v>651</x:v>
      </x:c>
      <x:c r="G321" s="23" t="s">
        <x:v>651</x:v>
      </x:c>
      <x:c r="H321" s="23" t="s">
        <x:v>651</x:v>
      </x:c>
      <x:c r="I321" s="23" t="s">
        <x:v>651</x:v>
      </x:c>
      <x:c r="J321" s="23" t="s">
        <x:v>651</x:v>
      </x:c>
      <x:c r="K321" s="23" t="s">
        <x:v>651</x:v>
      </x:c>
      <x:c r="L321" s="23" t="s">
        <x:v>651</x:v>
      </x:c>
      <x:c r="M321" s="23" t="s">
        <x:v>651</x:v>
      </x:c>
      <x:c r="N321" s="23" t="s">
        <x:v>651</x:v>
      </x:c>
      <x:c r="O321" s="23" t="s">
        <x:v>651</x:v>
      </x:c>
      <x:c r="P321" s="23" t="s">
        <x:v>651</x:v>
      </x:c>
      <x:c r="Q321" s="23" t="s">
        <x:v>651</x:v>
      </x:c>
      <x:c r="R321" s="23" t="s">
        <x:v>651</x:v>
      </x:c>
      <x:c r="S321" s="23" t="s">
        <x:v>651</x:v>
      </x:c>
      <x:c r="T321" s="23" t="s">
        <x:v>651</x:v>
      </x:c>
      <x:c r="U321" s="23" t="s">
        <x:v>651</x:v>
      </x:c>
      <x:c r="V321" s="23" t="s">
        <x:v>651</x:v>
      </x:c>
      <x:c r="W321" s="23" t="s">
        <x:v>651</x:v>
      </x:c>
      <x:c r="X321" s="23" t="s">
        <x:v>651</x:v>
      </x:c>
      <x:c r="Y321" s="23" t="s">
        <x:v>651</x:v>
      </x:c>
      <x:c r="Z321" s="23" t="s">
        <x:v>651</x:v>
      </x:c>
    </x:row>
    <x:row r="322" ht="15.75" customHeight="1">
      <x:c r="A322" s="23" t="s">
        <x:v>651</x:v>
      </x:c>
      <x:c r="B322" s="23" t="s">
        <x:v>651</x:v>
      </x:c>
      <x:c r="C322" s="23" t="s">
        <x:v>651</x:v>
      </x:c>
      <x:c r="D322" s="23" t="s">
        <x:v>651</x:v>
      </x:c>
      <x:c r="E322" s="23" t="s">
        <x:v>651</x:v>
      </x:c>
      <x:c r="F322" s="23" t="s">
        <x:v>651</x:v>
      </x:c>
      <x:c r="G322" s="23" t="s">
        <x:v>651</x:v>
      </x:c>
      <x:c r="H322" s="23" t="s">
        <x:v>651</x:v>
      </x:c>
      <x:c r="I322" s="23" t="s">
        <x:v>651</x:v>
      </x:c>
      <x:c r="J322" s="23" t="s">
        <x:v>651</x:v>
      </x:c>
      <x:c r="K322" s="23" t="s">
        <x:v>651</x:v>
      </x:c>
      <x:c r="L322" s="23" t="s">
        <x:v>651</x:v>
      </x:c>
      <x:c r="M322" s="23" t="s">
        <x:v>651</x:v>
      </x:c>
      <x:c r="N322" s="23" t="s">
        <x:v>651</x:v>
      </x:c>
      <x:c r="O322" s="23" t="s">
        <x:v>651</x:v>
      </x:c>
      <x:c r="P322" s="23" t="s">
        <x:v>651</x:v>
      </x:c>
      <x:c r="Q322" s="23" t="s">
        <x:v>651</x:v>
      </x:c>
      <x:c r="R322" s="23" t="s">
        <x:v>651</x:v>
      </x:c>
      <x:c r="S322" s="23" t="s">
        <x:v>651</x:v>
      </x:c>
      <x:c r="T322" s="23" t="s">
        <x:v>651</x:v>
      </x:c>
      <x:c r="U322" s="23" t="s">
        <x:v>651</x:v>
      </x:c>
      <x:c r="V322" s="23" t="s">
        <x:v>651</x:v>
      </x:c>
      <x:c r="W322" s="23" t="s">
        <x:v>651</x:v>
      </x:c>
      <x:c r="X322" s="23" t="s">
        <x:v>651</x:v>
      </x:c>
      <x:c r="Y322" s="23" t="s">
        <x:v>651</x:v>
      </x:c>
      <x:c r="Z322" s="23" t="s">
        <x:v>651</x:v>
      </x:c>
    </x:row>
    <x:row r="323" ht="15.75" customHeight="1">
      <x:c r="A323" s="23" t="s">
        <x:v>651</x:v>
      </x:c>
      <x:c r="B323" s="23" t="s">
        <x:v>651</x:v>
      </x:c>
      <x:c r="C323" s="23" t="s">
        <x:v>651</x:v>
      </x:c>
      <x:c r="D323" s="23" t="s">
        <x:v>651</x:v>
      </x:c>
      <x:c r="E323" s="23" t="s">
        <x:v>651</x:v>
      </x:c>
      <x:c r="F323" s="23" t="s">
        <x:v>651</x:v>
      </x:c>
      <x:c r="G323" s="23" t="s">
        <x:v>651</x:v>
      </x:c>
      <x:c r="H323" s="23" t="s">
        <x:v>651</x:v>
      </x:c>
      <x:c r="I323" s="23" t="s">
        <x:v>651</x:v>
      </x:c>
      <x:c r="J323" s="23" t="s">
        <x:v>651</x:v>
      </x:c>
      <x:c r="K323" s="23" t="s">
        <x:v>651</x:v>
      </x:c>
      <x:c r="L323" s="23" t="s">
        <x:v>651</x:v>
      </x:c>
      <x:c r="M323" s="23" t="s">
        <x:v>651</x:v>
      </x:c>
      <x:c r="N323" s="23" t="s">
        <x:v>651</x:v>
      </x:c>
      <x:c r="O323" s="23" t="s">
        <x:v>651</x:v>
      </x:c>
      <x:c r="P323" s="23" t="s">
        <x:v>651</x:v>
      </x:c>
      <x:c r="Q323" s="23" t="s">
        <x:v>651</x:v>
      </x:c>
      <x:c r="R323" s="23" t="s">
        <x:v>651</x:v>
      </x:c>
      <x:c r="S323" s="23" t="s">
        <x:v>651</x:v>
      </x:c>
      <x:c r="T323" s="23" t="s">
        <x:v>651</x:v>
      </x:c>
      <x:c r="U323" s="23" t="s">
        <x:v>651</x:v>
      </x:c>
      <x:c r="V323" s="23" t="s">
        <x:v>651</x:v>
      </x:c>
      <x:c r="W323" s="23" t="s">
        <x:v>651</x:v>
      </x:c>
      <x:c r="X323" s="23" t="s">
        <x:v>651</x:v>
      </x:c>
      <x:c r="Y323" s="23" t="s">
        <x:v>651</x:v>
      </x:c>
      <x:c r="Z323" s="23" t="s">
        <x:v>651</x:v>
      </x:c>
    </x:row>
    <x:row r="324" ht="15.75" customHeight="1">
      <x:c r="A324" s="23" t="s">
        <x:v>651</x:v>
      </x:c>
      <x:c r="B324" s="23" t="s">
        <x:v>651</x:v>
      </x:c>
      <x:c r="C324" s="23" t="s">
        <x:v>651</x:v>
      </x:c>
      <x:c r="D324" s="23" t="s">
        <x:v>651</x:v>
      </x:c>
      <x:c r="E324" s="23" t="s">
        <x:v>651</x:v>
      </x:c>
      <x:c r="F324" s="23" t="s">
        <x:v>651</x:v>
      </x:c>
      <x:c r="G324" s="23" t="s">
        <x:v>651</x:v>
      </x:c>
      <x:c r="H324" s="23" t="s">
        <x:v>651</x:v>
      </x:c>
      <x:c r="I324" s="23" t="s">
        <x:v>651</x:v>
      </x:c>
      <x:c r="J324" s="23" t="s">
        <x:v>651</x:v>
      </x:c>
      <x:c r="K324" s="23" t="s">
        <x:v>651</x:v>
      </x:c>
      <x:c r="L324" s="23" t="s">
        <x:v>651</x:v>
      </x:c>
      <x:c r="M324" s="23" t="s">
        <x:v>651</x:v>
      </x:c>
      <x:c r="N324" s="23" t="s">
        <x:v>651</x:v>
      </x:c>
      <x:c r="O324" s="23" t="s">
        <x:v>651</x:v>
      </x:c>
      <x:c r="P324" s="23" t="s">
        <x:v>651</x:v>
      </x:c>
      <x:c r="Q324" s="23" t="s">
        <x:v>651</x:v>
      </x:c>
      <x:c r="R324" s="23" t="s">
        <x:v>651</x:v>
      </x:c>
      <x:c r="S324" s="23" t="s">
        <x:v>651</x:v>
      </x:c>
      <x:c r="T324" s="23" t="s">
        <x:v>651</x:v>
      </x:c>
      <x:c r="U324" s="23" t="s">
        <x:v>651</x:v>
      </x:c>
      <x:c r="V324" s="23" t="s">
        <x:v>651</x:v>
      </x:c>
      <x:c r="W324" s="23" t="s">
        <x:v>651</x:v>
      </x:c>
      <x:c r="X324" s="23" t="s">
        <x:v>651</x:v>
      </x:c>
      <x:c r="Y324" s="23" t="s">
        <x:v>651</x:v>
      </x:c>
      <x:c r="Z324" s="23" t="s">
        <x:v>651</x:v>
      </x:c>
    </x:row>
    <x:row r="325" ht="15.75" customHeight="1">
      <x:c r="A325" s="23" t="s">
        <x:v>651</x:v>
      </x:c>
      <x:c r="B325" s="23" t="s">
        <x:v>651</x:v>
      </x:c>
      <x:c r="C325" s="23" t="s">
        <x:v>651</x:v>
      </x:c>
      <x:c r="D325" s="23" t="s">
        <x:v>651</x:v>
      </x:c>
      <x:c r="E325" s="23" t="s">
        <x:v>651</x:v>
      </x:c>
      <x:c r="F325" s="23" t="s">
        <x:v>651</x:v>
      </x:c>
      <x:c r="G325" s="23" t="s">
        <x:v>651</x:v>
      </x:c>
      <x:c r="H325" s="23" t="s">
        <x:v>651</x:v>
      </x:c>
      <x:c r="I325" s="23" t="s">
        <x:v>651</x:v>
      </x:c>
      <x:c r="J325" s="23" t="s">
        <x:v>651</x:v>
      </x:c>
      <x:c r="K325" s="23" t="s">
        <x:v>651</x:v>
      </x:c>
      <x:c r="L325" s="23" t="s">
        <x:v>651</x:v>
      </x:c>
      <x:c r="M325" s="23" t="s">
        <x:v>651</x:v>
      </x:c>
      <x:c r="N325" s="23" t="s">
        <x:v>651</x:v>
      </x:c>
      <x:c r="O325" s="23" t="s">
        <x:v>651</x:v>
      </x:c>
      <x:c r="P325" s="23" t="s">
        <x:v>651</x:v>
      </x:c>
      <x:c r="Q325" s="23" t="s">
        <x:v>651</x:v>
      </x:c>
      <x:c r="R325" s="23" t="s">
        <x:v>651</x:v>
      </x:c>
      <x:c r="S325" s="23" t="s">
        <x:v>651</x:v>
      </x:c>
      <x:c r="T325" s="23" t="s">
        <x:v>651</x:v>
      </x:c>
      <x:c r="U325" s="23" t="s">
        <x:v>651</x:v>
      </x:c>
      <x:c r="V325" s="23" t="s">
        <x:v>651</x:v>
      </x:c>
      <x:c r="W325" s="23" t="s">
        <x:v>651</x:v>
      </x:c>
      <x:c r="X325" s="23" t="s">
        <x:v>651</x:v>
      </x:c>
      <x:c r="Y325" s="23" t="s">
        <x:v>651</x:v>
      </x:c>
      <x:c r="Z325" s="23" t="s">
        <x:v>651</x:v>
      </x:c>
    </x:row>
    <x:row r="326" ht="15.75" customHeight="1">
      <x:c r="A326" s="23" t="s">
        <x:v>651</x:v>
      </x:c>
      <x:c r="B326" s="23" t="s">
        <x:v>651</x:v>
      </x:c>
      <x:c r="C326" s="23" t="s">
        <x:v>651</x:v>
      </x:c>
      <x:c r="D326" s="23" t="s">
        <x:v>651</x:v>
      </x:c>
      <x:c r="E326" s="23" t="s">
        <x:v>651</x:v>
      </x:c>
      <x:c r="F326" s="23" t="s">
        <x:v>651</x:v>
      </x:c>
      <x:c r="G326" s="23" t="s">
        <x:v>651</x:v>
      </x:c>
      <x:c r="H326" s="23" t="s">
        <x:v>651</x:v>
      </x:c>
      <x:c r="I326" s="23" t="s">
        <x:v>651</x:v>
      </x:c>
      <x:c r="J326" s="23" t="s">
        <x:v>651</x:v>
      </x:c>
      <x:c r="K326" s="23" t="s">
        <x:v>651</x:v>
      </x:c>
      <x:c r="L326" s="23" t="s">
        <x:v>651</x:v>
      </x:c>
      <x:c r="M326" s="23" t="s">
        <x:v>651</x:v>
      </x:c>
      <x:c r="N326" s="23" t="s">
        <x:v>651</x:v>
      </x:c>
      <x:c r="O326" s="23" t="s">
        <x:v>651</x:v>
      </x:c>
      <x:c r="P326" s="23" t="s">
        <x:v>651</x:v>
      </x:c>
      <x:c r="Q326" s="23" t="s">
        <x:v>651</x:v>
      </x:c>
      <x:c r="R326" s="23" t="s">
        <x:v>651</x:v>
      </x:c>
      <x:c r="S326" s="23" t="s">
        <x:v>651</x:v>
      </x:c>
      <x:c r="T326" s="23" t="s">
        <x:v>651</x:v>
      </x:c>
      <x:c r="U326" s="23" t="s">
        <x:v>651</x:v>
      </x:c>
      <x:c r="V326" s="23" t="s">
        <x:v>651</x:v>
      </x:c>
      <x:c r="W326" s="23" t="s">
        <x:v>651</x:v>
      </x:c>
      <x:c r="X326" s="23" t="s">
        <x:v>651</x:v>
      </x:c>
      <x:c r="Y326" s="23" t="s">
        <x:v>651</x:v>
      </x:c>
      <x:c r="Z326" s="23" t="s">
        <x:v>651</x:v>
      </x:c>
    </x:row>
    <x:row r="327" ht="15.75" customHeight="1">
      <x:c r="A327" s="23" t="s">
        <x:v>651</x:v>
      </x:c>
      <x:c r="B327" s="23" t="s">
        <x:v>651</x:v>
      </x:c>
      <x:c r="C327" s="23" t="s">
        <x:v>651</x:v>
      </x:c>
      <x:c r="D327" s="23" t="s">
        <x:v>651</x:v>
      </x:c>
      <x:c r="E327" s="23" t="s">
        <x:v>651</x:v>
      </x:c>
      <x:c r="F327" s="23" t="s">
        <x:v>651</x:v>
      </x:c>
      <x:c r="G327" s="23" t="s">
        <x:v>651</x:v>
      </x:c>
      <x:c r="H327" s="23" t="s">
        <x:v>651</x:v>
      </x:c>
      <x:c r="I327" s="23" t="s">
        <x:v>651</x:v>
      </x:c>
      <x:c r="J327" s="23" t="s">
        <x:v>651</x:v>
      </x:c>
      <x:c r="K327" s="23" t="s">
        <x:v>651</x:v>
      </x:c>
      <x:c r="L327" s="23" t="s">
        <x:v>651</x:v>
      </x:c>
      <x:c r="M327" s="23" t="s">
        <x:v>651</x:v>
      </x:c>
      <x:c r="N327" s="23" t="s">
        <x:v>651</x:v>
      </x:c>
      <x:c r="O327" s="23" t="s">
        <x:v>651</x:v>
      </x:c>
      <x:c r="P327" s="23" t="s">
        <x:v>651</x:v>
      </x:c>
      <x:c r="Q327" s="23" t="s">
        <x:v>651</x:v>
      </x:c>
      <x:c r="R327" s="23" t="s">
        <x:v>651</x:v>
      </x:c>
      <x:c r="S327" s="23" t="s">
        <x:v>651</x:v>
      </x:c>
      <x:c r="T327" s="23" t="s">
        <x:v>651</x:v>
      </x:c>
      <x:c r="U327" s="23" t="s">
        <x:v>651</x:v>
      </x:c>
      <x:c r="V327" s="23" t="s">
        <x:v>651</x:v>
      </x:c>
      <x:c r="W327" s="23" t="s">
        <x:v>651</x:v>
      </x:c>
      <x:c r="X327" s="23" t="s">
        <x:v>651</x:v>
      </x:c>
      <x:c r="Y327" s="23" t="s">
        <x:v>651</x:v>
      </x:c>
      <x:c r="Z327" s="23" t="s">
        <x:v>651</x:v>
      </x:c>
    </x:row>
    <x:row r="328" ht="15.75" customHeight="1">
      <x:c r="A328" s="23" t="s">
        <x:v>651</x:v>
      </x:c>
      <x:c r="B328" s="23" t="s">
        <x:v>651</x:v>
      </x:c>
      <x:c r="C328" s="23" t="s">
        <x:v>651</x:v>
      </x:c>
      <x:c r="D328" s="23" t="s">
        <x:v>651</x:v>
      </x:c>
      <x:c r="E328" s="23" t="s">
        <x:v>651</x:v>
      </x:c>
      <x:c r="F328" s="23" t="s">
        <x:v>651</x:v>
      </x:c>
      <x:c r="G328" s="23" t="s">
        <x:v>651</x:v>
      </x:c>
      <x:c r="H328" s="23" t="s">
        <x:v>651</x:v>
      </x:c>
      <x:c r="I328" s="23" t="s">
        <x:v>651</x:v>
      </x:c>
      <x:c r="J328" s="23" t="s">
        <x:v>651</x:v>
      </x:c>
      <x:c r="K328" s="23" t="s">
        <x:v>651</x:v>
      </x:c>
      <x:c r="L328" s="23" t="s">
        <x:v>651</x:v>
      </x:c>
      <x:c r="M328" s="23" t="s">
        <x:v>651</x:v>
      </x:c>
      <x:c r="N328" s="23" t="s">
        <x:v>651</x:v>
      </x:c>
      <x:c r="O328" s="23" t="s">
        <x:v>651</x:v>
      </x:c>
      <x:c r="P328" s="23" t="s">
        <x:v>651</x:v>
      </x:c>
      <x:c r="Q328" s="23" t="s">
        <x:v>651</x:v>
      </x:c>
      <x:c r="R328" s="23" t="s">
        <x:v>651</x:v>
      </x:c>
      <x:c r="S328" s="23" t="s">
        <x:v>651</x:v>
      </x:c>
      <x:c r="T328" s="23" t="s">
        <x:v>651</x:v>
      </x:c>
      <x:c r="U328" s="23" t="s">
        <x:v>651</x:v>
      </x:c>
      <x:c r="V328" s="23" t="s">
        <x:v>651</x:v>
      </x:c>
      <x:c r="W328" s="23" t="s">
        <x:v>651</x:v>
      </x:c>
      <x:c r="X328" s="23" t="s">
        <x:v>651</x:v>
      </x:c>
      <x:c r="Y328" s="23" t="s">
        <x:v>651</x:v>
      </x:c>
      <x:c r="Z328" s="23" t="s">
        <x:v>651</x:v>
      </x:c>
    </x:row>
    <x:row r="329" ht="15.75" customHeight="1">
      <x:c r="A329" s="23" t="s">
        <x:v>651</x:v>
      </x:c>
      <x:c r="B329" s="23" t="s">
        <x:v>651</x:v>
      </x:c>
      <x:c r="C329" s="23" t="s">
        <x:v>651</x:v>
      </x:c>
      <x:c r="D329" s="23" t="s">
        <x:v>651</x:v>
      </x:c>
      <x:c r="E329" s="23" t="s">
        <x:v>651</x:v>
      </x:c>
      <x:c r="F329" s="23" t="s">
        <x:v>651</x:v>
      </x:c>
      <x:c r="G329" s="23" t="s">
        <x:v>651</x:v>
      </x:c>
      <x:c r="H329" s="23" t="s">
        <x:v>651</x:v>
      </x:c>
      <x:c r="I329" s="23" t="s">
        <x:v>651</x:v>
      </x:c>
      <x:c r="J329" s="23" t="s">
        <x:v>651</x:v>
      </x:c>
      <x:c r="K329" s="23" t="s">
        <x:v>651</x:v>
      </x:c>
      <x:c r="L329" s="23" t="s">
        <x:v>651</x:v>
      </x:c>
      <x:c r="M329" s="23" t="s">
        <x:v>651</x:v>
      </x:c>
      <x:c r="N329" s="23" t="s">
        <x:v>651</x:v>
      </x:c>
      <x:c r="O329" s="23" t="s">
        <x:v>651</x:v>
      </x:c>
      <x:c r="P329" s="23" t="s">
        <x:v>651</x:v>
      </x:c>
      <x:c r="Q329" s="23" t="s">
        <x:v>651</x:v>
      </x:c>
      <x:c r="R329" s="23" t="s">
        <x:v>651</x:v>
      </x:c>
      <x:c r="S329" s="23" t="s">
        <x:v>651</x:v>
      </x:c>
      <x:c r="T329" s="23" t="s">
        <x:v>651</x:v>
      </x:c>
      <x:c r="U329" s="23" t="s">
        <x:v>651</x:v>
      </x:c>
      <x:c r="V329" s="23" t="s">
        <x:v>651</x:v>
      </x:c>
      <x:c r="W329" s="23" t="s">
        <x:v>651</x:v>
      </x:c>
      <x:c r="X329" s="23" t="s">
        <x:v>651</x:v>
      </x:c>
      <x:c r="Y329" s="23" t="s">
        <x:v>651</x:v>
      </x:c>
      <x:c r="Z329" s="23" t="s">
        <x:v>651</x:v>
      </x:c>
    </x:row>
    <x:row r="330" ht="15.75" customHeight="1">
      <x:c r="A330" s="23" t="s">
        <x:v>651</x:v>
      </x:c>
      <x:c r="B330" s="23" t="s">
        <x:v>651</x:v>
      </x:c>
      <x:c r="C330" s="23" t="s">
        <x:v>651</x:v>
      </x:c>
      <x:c r="D330" s="23" t="s">
        <x:v>651</x:v>
      </x:c>
      <x:c r="E330" s="23" t="s">
        <x:v>651</x:v>
      </x:c>
      <x:c r="F330" s="23" t="s">
        <x:v>651</x:v>
      </x:c>
      <x:c r="G330" s="23" t="s">
        <x:v>651</x:v>
      </x:c>
      <x:c r="H330" s="23" t="s">
        <x:v>651</x:v>
      </x:c>
      <x:c r="I330" s="23" t="s">
        <x:v>651</x:v>
      </x:c>
      <x:c r="J330" s="23" t="s">
        <x:v>651</x:v>
      </x:c>
      <x:c r="K330" s="23" t="s">
        <x:v>651</x:v>
      </x:c>
      <x:c r="L330" s="23" t="s">
        <x:v>651</x:v>
      </x:c>
      <x:c r="M330" s="23" t="s">
        <x:v>651</x:v>
      </x:c>
      <x:c r="N330" s="23" t="s">
        <x:v>651</x:v>
      </x:c>
      <x:c r="O330" s="23" t="s">
        <x:v>651</x:v>
      </x:c>
      <x:c r="P330" s="23" t="s">
        <x:v>651</x:v>
      </x:c>
      <x:c r="Q330" s="23" t="s">
        <x:v>651</x:v>
      </x:c>
      <x:c r="R330" s="23" t="s">
        <x:v>651</x:v>
      </x:c>
      <x:c r="S330" s="23" t="s">
        <x:v>651</x:v>
      </x:c>
      <x:c r="T330" s="23" t="s">
        <x:v>651</x:v>
      </x:c>
      <x:c r="U330" s="23" t="s">
        <x:v>651</x:v>
      </x:c>
      <x:c r="V330" s="23" t="s">
        <x:v>651</x:v>
      </x:c>
      <x:c r="W330" s="23" t="s">
        <x:v>651</x:v>
      </x:c>
      <x:c r="X330" s="23" t="s">
        <x:v>651</x:v>
      </x:c>
      <x:c r="Y330" s="23" t="s">
        <x:v>651</x:v>
      </x:c>
      <x:c r="Z330" s="23" t="s">
        <x:v>651</x:v>
      </x:c>
    </x:row>
    <x:row r="331" ht="15.75" customHeight="1">
      <x:c r="O331" s="24"/>
      <x:c r="P331" s="24"/>
      <x:c r="Q331" s="24"/>
      <x:c r="R331" s="24"/>
    </x:row>
    <x:row r="332" ht="15.75" customHeight="1">
      <x:c r="O332" s="24"/>
      <x:c r="P332" s="24"/>
      <x:c r="Q332" s="24"/>
      <x:c r="R332" s="24"/>
    </x:row>
    <x:row r="333" ht="15.75" customHeight="1">
      <x:c r="O333" s="24"/>
      <x:c r="P333" s="24"/>
      <x:c r="Q333" s="24"/>
      <x:c r="R333" s="24"/>
    </x:row>
    <x:row r="334" ht="15.75" customHeight="1">
      <x:c r="O334" s="24"/>
      <x:c r="P334" s="24"/>
      <x:c r="Q334" s="24"/>
      <x:c r="R334" s="24"/>
    </x:row>
    <x:row r="335" ht="15.75" customHeight="1">
      <x:c r="O335" s="24"/>
      <x:c r="P335" s="24"/>
      <x:c r="Q335" s="24"/>
      <x:c r="R335" s="24"/>
    </x:row>
    <x:row r="336" ht="15.75" customHeight="1">
      <x:c r="O336" s="24"/>
      <x:c r="P336" s="24"/>
      <x:c r="Q336" s="24"/>
      <x:c r="R336" s="24"/>
    </x:row>
    <x:row r="337" ht="15.75" customHeight="1">
      <x:c r="O337" s="24"/>
      <x:c r="P337" s="24"/>
      <x:c r="Q337" s="24"/>
      <x:c r="R337" s="24"/>
    </x:row>
    <x:row r="338" ht="15.75" customHeight="1">
      <x:c r="O338" s="24"/>
      <x:c r="P338" s="24"/>
      <x:c r="Q338" s="24"/>
      <x:c r="R338" s="24"/>
    </x:row>
    <x:row r="339" ht="15.75" customHeight="1">
      <x:c r="O339" s="24"/>
      <x:c r="P339" s="24"/>
      <x:c r="Q339" s="24"/>
      <x:c r="R339" s="24"/>
    </x:row>
    <x:row r="340" ht="15.75" customHeight="1">
      <x:c r="O340" s="24"/>
      <x:c r="P340" s="24"/>
      <x:c r="Q340" s="24"/>
      <x:c r="R340" s="24"/>
    </x:row>
    <x:row r="341" ht="15.75" customHeight="1">
      <x:c r="O341" s="24"/>
      <x:c r="P341" s="24"/>
      <x:c r="Q341" s="24"/>
      <x:c r="R341" s="24"/>
    </x:row>
    <x:row r="342" ht="15.75" customHeight="1">
      <x:c r="O342" s="24"/>
      <x:c r="P342" s="24"/>
      <x:c r="Q342" s="24"/>
      <x:c r="R342" s="24"/>
    </x:row>
    <x:row r="343" ht="15.75" customHeight="1">
      <x:c r="O343" s="24"/>
      <x:c r="P343" s="24"/>
      <x:c r="Q343" s="24"/>
      <x:c r="R343" s="24"/>
    </x:row>
    <x:row r="344" ht="15.75" customHeight="1">
      <x:c r="O344" s="24"/>
      <x:c r="P344" s="24"/>
      <x:c r="Q344" s="24"/>
      <x:c r="R344" s="24"/>
    </x:row>
    <x:row r="345" ht="15.75" customHeight="1">
      <x:c r="O345" s="24"/>
      <x:c r="P345" s="24"/>
      <x:c r="Q345" s="24"/>
      <x:c r="R345" s="24"/>
    </x:row>
    <x:row r="346" ht="15.75" customHeight="1">
      <x:c r="O346" s="24"/>
      <x:c r="P346" s="24"/>
      <x:c r="Q346" s="24"/>
      <x:c r="R346" s="24"/>
    </x:row>
    <x:row r="347" ht="15.75" customHeight="1">
      <x:c r="O347" s="24"/>
      <x:c r="P347" s="24"/>
      <x:c r="Q347" s="24"/>
      <x:c r="R347" s="24"/>
    </x:row>
    <x:row r="348" ht="15.75" customHeight="1">
      <x:c r="O348" s="24"/>
      <x:c r="P348" s="24"/>
      <x:c r="Q348" s="24"/>
      <x:c r="R348" s="24"/>
    </x:row>
    <x:row r="349" ht="15.75" customHeight="1">
      <x:c r="O349" s="24"/>
      <x:c r="P349" s="24"/>
      <x:c r="Q349" s="24"/>
      <x:c r="R349" s="24"/>
    </x:row>
    <x:row r="350" ht="15.75" customHeight="1">
      <x:c r="O350" s="24"/>
      <x:c r="P350" s="24"/>
      <x:c r="Q350" s="24"/>
      <x:c r="R350" s="24"/>
    </x:row>
    <x:row r="351" ht="15.75" customHeight="1">
      <x:c r="O351" s="24"/>
      <x:c r="P351" s="24"/>
      <x:c r="Q351" s="24"/>
      <x:c r="R351" s="24"/>
    </x:row>
    <x:row r="352" ht="15.75" customHeight="1">
      <x:c r="O352" s="24"/>
      <x:c r="P352" s="24"/>
      <x:c r="Q352" s="24"/>
      <x:c r="R352" s="24"/>
    </x:row>
    <x:row r="353" ht="15.75" customHeight="1">
      <x:c r="O353" s="24"/>
      <x:c r="P353" s="24"/>
      <x:c r="Q353" s="24"/>
      <x:c r="R353" s="24"/>
    </x:row>
    <x:row r="354" ht="15.75" customHeight="1">
      <x:c r="O354" s="24"/>
      <x:c r="P354" s="24"/>
      <x:c r="Q354" s="24"/>
      <x:c r="R354" s="24"/>
    </x:row>
    <x:row r="355" ht="15.75" customHeight="1">
      <x:c r="O355" s="24"/>
      <x:c r="P355" s="24"/>
      <x:c r="Q355" s="24"/>
      <x:c r="R355" s="24"/>
    </x:row>
    <x:row r="356" ht="15.75" customHeight="1">
      <x:c r="O356" s="24"/>
      <x:c r="P356" s="24"/>
      <x:c r="Q356" s="24"/>
      <x:c r="R356" s="24"/>
    </x:row>
    <x:row r="357" ht="15.75" customHeight="1">
      <x:c r="O357" s="24"/>
      <x:c r="P357" s="24"/>
      <x:c r="Q357" s="24"/>
      <x:c r="R357" s="24"/>
    </x:row>
    <x:row r="358" ht="15.75" customHeight="1">
      <x:c r="O358" s="24"/>
      <x:c r="P358" s="24"/>
      <x:c r="Q358" s="24"/>
      <x:c r="R358" s="24"/>
    </x:row>
    <x:row r="359" ht="15.75" customHeight="1">
      <x:c r="O359" s="24"/>
      <x:c r="P359" s="24"/>
      <x:c r="Q359" s="24"/>
      <x:c r="R359" s="24"/>
    </x:row>
    <x:row r="360" ht="15.75" customHeight="1">
      <x:c r="O360" s="24"/>
      <x:c r="P360" s="24"/>
      <x:c r="Q360" s="24"/>
      <x:c r="R360" s="24"/>
    </x:row>
    <x:row r="361" ht="15.75" customHeight="1">
      <x:c r="O361" s="24"/>
      <x:c r="P361" s="24"/>
      <x:c r="Q361" s="24"/>
      <x:c r="R361" s="24"/>
    </x:row>
    <x:row r="362" ht="15.75" customHeight="1">
      <x:c r="O362" s="24"/>
      <x:c r="P362" s="24"/>
      <x:c r="Q362" s="24"/>
      <x:c r="R362" s="24"/>
    </x:row>
    <x:row r="363" ht="15.75" customHeight="1">
      <x:c r="O363" s="24"/>
      <x:c r="P363" s="24"/>
      <x:c r="Q363" s="24"/>
      <x:c r="R363" s="24"/>
    </x:row>
    <x:row r="364" ht="15.75" customHeight="1">
      <x:c r="O364" s="24"/>
      <x:c r="P364" s="24"/>
      <x:c r="Q364" s="24"/>
      <x:c r="R364" s="24"/>
    </x:row>
    <x:row r="365" ht="15.75" customHeight="1">
      <x:c r="O365" s="24"/>
      <x:c r="P365" s="24"/>
      <x:c r="Q365" s="24"/>
      <x:c r="R365" s="24"/>
    </x:row>
    <x:row r="366" ht="15.75" customHeight="1">
      <x:c r="O366" s="24"/>
      <x:c r="P366" s="24"/>
      <x:c r="Q366" s="24"/>
      <x:c r="R366" s="24"/>
    </x:row>
    <x:row r="367" ht="15.75" customHeight="1">
      <x:c r="O367" s="24"/>
      <x:c r="P367" s="24"/>
      <x:c r="Q367" s="24"/>
      <x:c r="R367" s="24"/>
    </x:row>
    <x:row r="368" ht="15.75" customHeight="1">
      <x:c r="O368" s="24"/>
      <x:c r="P368" s="24"/>
      <x:c r="Q368" s="24"/>
      <x:c r="R368" s="24"/>
    </x:row>
    <x:row r="369" ht="15.75" customHeight="1">
      <x:c r="O369" s="24"/>
      <x:c r="P369" s="24"/>
      <x:c r="Q369" s="24"/>
      <x:c r="R369" s="24"/>
    </x:row>
    <x:row r="370" ht="15.75" customHeight="1">
      <x:c r="O370" s="24"/>
      <x:c r="P370" s="24"/>
      <x:c r="Q370" s="24"/>
      <x:c r="R370" s="24"/>
    </x:row>
    <x:row r="371" ht="15.75" customHeight="1">
      <x:c r="O371" s="24"/>
      <x:c r="P371" s="24"/>
      <x:c r="Q371" s="24"/>
      <x:c r="R371" s="24"/>
    </x:row>
    <x:row r="372" ht="15.75" customHeight="1">
      <x:c r="O372" s="24"/>
      <x:c r="P372" s="24"/>
      <x:c r="Q372" s="24"/>
      <x:c r="R372" s="24"/>
    </x:row>
    <x:row r="373" ht="15.75" customHeight="1">
      <x:c r="O373" s="24"/>
      <x:c r="P373" s="24"/>
      <x:c r="Q373" s="24"/>
      <x:c r="R373" s="24"/>
    </x:row>
    <x:row r="374" ht="15.75" customHeight="1">
      <x:c r="O374" s="24"/>
      <x:c r="P374" s="24"/>
      <x:c r="Q374" s="24"/>
      <x:c r="R374" s="24"/>
    </x:row>
    <x:row r="375" ht="15.75" customHeight="1">
      <x:c r="O375" s="24"/>
      <x:c r="P375" s="24"/>
      <x:c r="Q375" s="24"/>
      <x:c r="R375" s="24"/>
    </x:row>
    <x:row r="376" ht="15.75" customHeight="1">
      <x:c r="O376" s="24"/>
      <x:c r="P376" s="24"/>
      <x:c r="Q376" s="24"/>
      <x:c r="R376" s="24"/>
    </x:row>
    <x:row r="377" ht="15.75" customHeight="1">
      <x:c r="O377" s="24"/>
      <x:c r="P377" s="24"/>
      <x:c r="Q377" s="24"/>
      <x:c r="R377" s="24"/>
    </x:row>
    <x:row r="378" ht="15.75" customHeight="1">
      <x:c r="O378" s="24"/>
      <x:c r="P378" s="24"/>
      <x:c r="Q378" s="24"/>
      <x:c r="R378" s="24"/>
    </x:row>
    <x:row r="379" ht="15.75" customHeight="1">
      <x:c r="O379" s="24"/>
      <x:c r="P379" s="24"/>
      <x:c r="Q379" s="24"/>
      <x:c r="R379" s="24"/>
    </x:row>
    <x:row r="380" ht="15.75" customHeight="1">
      <x:c r="O380" s="24"/>
      <x:c r="P380" s="24"/>
      <x:c r="Q380" s="24"/>
      <x:c r="R380" s="24"/>
    </x:row>
    <x:row r="381" ht="15.75" customHeight="1">
      <x:c r="O381" s="24"/>
      <x:c r="P381" s="24"/>
      <x:c r="Q381" s="24"/>
      <x:c r="R381" s="24"/>
    </x:row>
    <x:row r="382" ht="15.75" customHeight="1">
      <x:c r="O382" s="24"/>
      <x:c r="P382" s="24"/>
      <x:c r="Q382" s="24"/>
      <x:c r="R382" s="24"/>
    </x:row>
    <x:row r="383" ht="15.75" customHeight="1">
      <x:c r="O383" s="24"/>
      <x:c r="P383" s="24"/>
      <x:c r="Q383" s="24"/>
      <x:c r="R383" s="24"/>
    </x:row>
    <x:row r="384" ht="15.75" customHeight="1">
      <x:c r="O384" s="24"/>
      <x:c r="P384" s="24"/>
      <x:c r="Q384" s="24"/>
      <x:c r="R384" s="24"/>
    </x:row>
    <x:row r="385" ht="15.75" customHeight="1">
      <x:c r="O385" s="24"/>
      <x:c r="P385" s="24"/>
      <x:c r="Q385" s="24"/>
      <x:c r="R385" s="24"/>
    </x:row>
    <x:row r="386" ht="15.75" customHeight="1">
      <x:c r="O386" s="24"/>
      <x:c r="P386" s="24"/>
      <x:c r="Q386" s="24"/>
      <x:c r="R386" s="24"/>
    </x:row>
    <x:row r="387" ht="15.75" customHeight="1">
      <x:c r="O387" s="24"/>
      <x:c r="P387" s="24"/>
      <x:c r="Q387" s="24"/>
      <x:c r="R387" s="24"/>
    </x:row>
    <x:row r="388" ht="15.75" customHeight="1">
      <x:c r="O388" s="24"/>
      <x:c r="P388" s="24"/>
      <x:c r="Q388" s="24"/>
      <x:c r="R388" s="24"/>
    </x:row>
    <x:row r="389" ht="15.75" customHeight="1">
      <x:c r="O389" s="24"/>
      <x:c r="P389" s="24"/>
      <x:c r="Q389" s="24"/>
      <x:c r="R389" s="24"/>
    </x:row>
    <x:row r="390" ht="15.75" customHeight="1">
      <x:c r="O390" s="24"/>
      <x:c r="P390" s="24"/>
      <x:c r="Q390" s="24"/>
      <x:c r="R390" s="24"/>
    </x:row>
    <x:row r="391" ht="15.75" customHeight="1">
      <x:c r="O391" s="24"/>
      <x:c r="P391" s="24"/>
      <x:c r="Q391" s="24"/>
      <x:c r="R391" s="24"/>
    </x:row>
    <x:row r="392" ht="15.75" customHeight="1">
      <x:c r="O392" s="24"/>
      <x:c r="P392" s="24"/>
      <x:c r="Q392" s="24"/>
      <x:c r="R392" s="24"/>
    </x:row>
    <x:row r="393" ht="15.75" customHeight="1">
      <x:c r="O393" s="24"/>
      <x:c r="P393" s="24"/>
      <x:c r="Q393" s="24"/>
      <x:c r="R393" s="24"/>
    </x:row>
    <x:row r="394" ht="15.75" customHeight="1">
      <x:c r="O394" s="24"/>
      <x:c r="P394" s="24"/>
      <x:c r="Q394" s="24"/>
      <x:c r="R394" s="24"/>
    </x:row>
    <x:row r="395" ht="15.75" customHeight="1">
      <x:c r="O395" s="24"/>
      <x:c r="P395" s="24"/>
      <x:c r="Q395" s="24"/>
      <x:c r="R395" s="24"/>
    </x:row>
    <x:row r="396" ht="15.75" customHeight="1">
      <x:c r="O396" s="24"/>
      <x:c r="P396" s="24"/>
      <x:c r="Q396" s="24"/>
      <x:c r="R396" s="24"/>
    </x:row>
    <x:row r="397" ht="15.75" customHeight="1">
      <x:c r="O397" s="24"/>
      <x:c r="P397" s="24"/>
      <x:c r="Q397" s="24"/>
      <x:c r="R397" s="24"/>
    </x:row>
    <x:row r="398" ht="15.75" customHeight="1">
      <x:c r="O398" s="24"/>
      <x:c r="P398" s="24"/>
      <x:c r="Q398" s="24"/>
      <x:c r="R398" s="24"/>
    </x:row>
    <x:row r="399" ht="15.75" customHeight="1">
      <x:c r="O399" s="24"/>
      <x:c r="P399" s="24"/>
      <x:c r="Q399" s="24"/>
      <x:c r="R399" s="24"/>
    </x:row>
    <x:row r="400" ht="15.75" customHeight="1">
      <x:c r="O400" s="24"/>
      <x:c r="P400" s="24"/>
      <x:c r="Q400" s="24"/>
      <x:c r="R400" s="24"/>
    </x:row>
    <x:row r="401" ht="15.75" customHeight="1">
      <x:c r="O401" s="24"/>
      <x:c r="P401" s="24"/>
      <x:c r="Q401" s="24"/>
      <x:c r="R401" s="24"/>
    </x:row>
    <x:row r="402" ht="15.75" customHeight="1">
      <x:c r="O402" s="24"/>
      <x:c r="P402" s="24"/>
      <x:c r="Q402" s="24"/>
      <x:c r="R402" s="24"/>
    </x:row>
    <x:row r="403" ht="15.75" customHeight="1">
      <x:c r="O403" s="24"/>
      <x:c r="P403" s="24"/>
      <x:c r="Q403" s="24"/>
      <x:c r="R403" s="24"/>
    </x:row>
    <x:row r="404" ht="15.75" customHeight="1">
      <x:c r="O404" s="24"/>
      <x:c r="P404" s="24"/>
      <x:c r="Q404" s="24"/>
      <x:c r="R404" s="24"/>
    </x:row>
    <x:row r="405" ht="15.75" customHeight="1">
      <x:c r="O405" s="24"/>
      <x:c r="P405" s="24"/>
      <x:c r="Q405" s="24"/>
      <x:c r="R405" s="24"/>
    </x:row>
    <x:row r="406" ht="15.75" customHeight="1">
      <x:c r="O406" s="24"/>
      <x:c r="P406" s="24"/>
      <x:c r="Q406" s="24"/>
      <x:c r="R406" s="24"/>
    </x:row>
    <x:row r="407" ht="15.75" customHeight="1">
      <x:c r="O407" s="24"/>
      <x:c r="P407" s="24"/>
      <x:c r="Q407" s="24"/>
      <x:c r="R407" s="24"/>
    </x:row>
    <x:row r="408" ht="15.75" customHeight="1">
      <x:c r="O408" s="24"/>
      <x:c r="P408" s="24"/>
      <x:c r="Q408" s="24"/>
      <x:c r="R408" s="24"/>
    </x:row>
    <x:row r="409" ht="15.75" customHeight="1">
      <x:c r="O409" s="24"/>
      <x:c r="P409" s="24"/>
      <x:c r="Q409" s="24"/>
      <x:c r="R409" s="24"/>
    </x:row>
    <x:row r="410" ht="15.75" customHeight="1">
      <x:c r="O410" s="24"/>
      <x:c r="P410" s="24"/>
      <x:c r="Q410" s="24"/>
      <x:c r="R410" s="24"/>
    </x:row>
    <x:row r="411" ht="15.75" customHeight="1">
      <x:c r="O411" s="24"/>
      <x:c r="P411" s="24"/>
      <x:c r="Q411" s="24"/>
      <x:c r="R411" s="24"/>
    </x:row>
    <x:row r="412" ht="15.75" customHeight="1">
      <x:c r="O412" s="24"/>
      <x:c r="P412" s="24"/>
      <x:c r="Q412" s="24"/>
      <x:c r="R412" s="24"/>
    </x:row>
    <x:row r="413" ht="15.75" customHeight="1">
      <x:c r="O413" s="24"/>
      <x:c r="P413" s="24"/>
      <x:c r="Q413" s="24"/>
      <x:c r="R413" s="24"/>
    </x:row>
    <x:row r="414" ht="15.75" customHeight="1">
      <x:c r="O414" s="24"/>
      <x:c r="P414" s="24"/>
      <x:c r="Q414" s="24"/>
      <x:c r="R414" s="24"/>
    </x:row>
    <x:row r="415" ht="15.75" customHeight="1">
      <x:c r="O415" s="24"/>
      <x:c r="P415" s="24"/>
      <x:c r="Q415" s="24"/>
      <x:c r="R415" s="24"/>
    </x:row>
    <x:row r="416" ht="15.75" customHeight="1">
      <x:c r="O416" s="24"/>
      <x:c r="P416" s="24"/>
      <x:c r="Q416" s="24"/>
      <x:c r="R416" s="24"/>
    </x:row>
    <x:row r="417" ht="15.75" customHeight="1">
      <x:c r="O417" s="24"/>
      <x:c r="P417" s="24"/>
      <x:c r="Q417" s="24"/>
      <x:c r="R417" s="24"/>
    </x:row>
    <x:row r="418" ht="15.75" customHeight="1">
      <x:c r="O418" s="24"/>
      <x:c r="P418" s="24"/>
      <x:c r="Q418" s="24"/>
      <x:c r="R418" s="24"/>
    </x:row>
    <x:row r="419" ht="15.75" customHeight="1">
      <x:c r="O419" s="24"/>
      <x:c r="P419" s="24"/>
      <x:c r="Q419" s="24"/>
      <x:c r="R419" s="24"/>
    </x:row>
    <x:row r="420" ht="15.75" customHeight="1">
      <x:c r="O420" s="24"/>
      <x:c r="P420" s="24"/>
      <x:c r="Q420" s="24"/>
      <x:c r="R420" s="24"/>
    </x:row>
    <x:row r="421" ht="15.75" customHeight="1">
      <x:c r="O421" s="24"/>
      <x:c r="P421" s="24"/>
      <x:c r="Q421" s="24"/>
      <x:c r="R421" s="24"/>
    </x:row>
    <x:row r="422" ht="15.75" customHeight="1">
      <x:c r="O422" s="24"/>
      <x:c r="P422" s="24"/>
      <x:c r="Q422" s="24"/>
      <x:c r="R422" s="24"/>
    </x:row>
    <x:row r="423" ht="15.75" customHeight="1">
      <x:c r="O423" s="24"/>
      <x:c r="P423" s="24"/>
      <x:c r="Q423" s="24"/>
      <x:c r="R423" s="24"/>
    </x:row>
    <x:row r="424" ht="15.75" customHeight="1">
      <x:c r="O424" s="24"/>
      <x:c r="P424" s="24"/>
      <x:c r="Q424" s="24"/>
      <x:c r="R424" s="24"/>
    </x:row>
    <x:row r="425" ht="15.75" customHeight="1">
      <x:c r="O425" s="24"/>
      <x:c r="P425" s="24"/>
      <x:c r="Q425" s="24"/>
      <x:c r="R425" s="24"/>
    </x:row>
    <x:row r="426" ht="15.75" customHeight="1">
      <x:c r="O426" s="24"/>
      <x:c r="P426" s="24"/>
      <x:c r="Q426" s="24"/>
      <x:c r="R426" s="24"/>
    </x:row>
    <x:row r="427" ht="15.75" customHeight="1">
      <x:c r="O427" s="24"/>
      <x:c r="P427" s="24"/>
      <x:c r="Q427" s="24"/>
      <x:c r="R427" s="24"/>
    </x:row>
    <x:row r="428" ht="15.75" customHeight="1">
      <x:c r="O428" s="24"/>
      <x:c r="P428" s="24"/>
      <x:c r="Q428" s="24"/>
      <x:c r="R428" s="24"/>
    </x:row>
    <x:row r="429" ht="15.75" customHeight="1">
      <x:c r="O429" s="24"/>
      <x:c r="P429" s="24"/>
      <x:c r="Q429" s="24"/>
      <x:c r="R429" s="24"/>
    </x:row>
    <x:row r="430" ht="15.75" customHeight="1">
      <x:c r="O430" s="24"/>
      <x:c r="P430" s="24"/>
      <x:c r="Q430" s="24"/>
      <x:c r="R430" s="24"/>
    </x:row>
    <x:row r="431" ht="15.75" customHeight="1">
      <x:c r="O431" s="24"/>
      <x:c r="P431" s="24"/>
      <x:c r="Q431" s="24"/>
      <x:c r="R431" s="24"/>
    </x:row>
    <x:row r="432" ht="15.75" customHeight="1">
      <x:c r="O432" s="24"/>
      <x:c r="P432" s="24"/>
      <x:c r="Q432" s="24"/>
      <x:c r="R432" s="24"/>
    </x:row>
    <x:row r="433" ht="15.75" customHeight="1">
      <x:c r="O433" s="24"/>
      <x:c r="P433" s="24"/>
      <x:c r="Q433" s="24"/>
      <x:c r="R433" s="24"/>
    </x:row>
    <x:row r="434" ht="15.75" customHeight="1">
      <x:c r="O434" s="24"/>
      <x:c r="P434" s="24"/>
      <x:c r="Q434" s="24"/>
      <x:c r="R434" s="24"/>
    </x:row>
    <x:row r="435" ht="15.75" customHeight="1">
      <x:c r="O435" s="24"/>
      <x:c r="P435" s="24"/>
      <x:c r="Q435" s="24"/>
      <x:c r="R435" s="24"/>
    </x:row>
    <x:row r="436" ht="15.75" customHeight="1">
      <x:c r="O436" s="24"/>
      <x:c r="P436" s="24"/>
      <x:c r="Q436" s="24"/>
      <x:c r="R436" s="24"/>
    </x:row>
    <x:row r="437" ht="15.75" customHeight="1">
      <x:c r="O437" s="24"/>
      <x:c r="P437" s="24"/>
      <x:c r="Q437" s="24"/>
      <x:c r="R437" s="24"/>
    </x:row>
    <x:row r="438" ht="15.75" customHeight="1">
      <x:c r="O438" s="24"/>
      <x:c r="P438" s="24"/>
      <x:c r="Q438" s="24"/>
      <x:c r="R438" s="24"/>
    </x:row>
    <x:row r="439" ht="15.75" customHeight="1">
      <x:c r="O439" s="24"/>
      <x:c r="P439" s="24"/>
      <x:c r="Q439" s="24"/>
      <x:c r="R439" s="24"/>
    </x:row>
    <x:row r="440" ht="15.75" customHeight="1">
      <x:c r="O440" s="24"/>
      <x:c r="P440" s="24"/>
      <x:c r="Q440" s="24"/>
      <x:c r="R440" s="24"/>
    </x:row>
    <x:row r="441" ht="15.75" customHeight="1">
      <x:c r="O441" s="24"/>
      <x:c r="P441" s="24"/>
      <x:c r="Q441" s="24"/>
      <x:c r="R441" s="24"/>
    </x:row>
    <x:row r="442" ht="15.75" customHeight="1">
      <x:c r="O442" s="24"/>
      <x:c r="P442" s="24"/>
      <x:c r="Q442" s="24"/>
      <x:c r="R442" s="24"/>
    </x:row>
    <x:row r="443" ht="15.75" customHeight="1">
      <x:c r="O443" s="24"/>
      <x:c r="P443" s="24"/>
      <x:c r="Q443" s="24"/>
      <x:c r="R443" s="24"/>
    </x:row>
    <x:row r="444" ht="15.75" customHeight="1">
      <x:c r="O444" s="24"/>
      <x:c r="P444" s="24"/>
      <x:c r="Q444" s="24"/>
      <x:c r="R444" s="24"/>
    </x:row>
    <x:row r="445" ht="15.75" customHeight="1">
      <x:c r="O445" s="24"/>
      <x:c r="P445" s="24"/>
      <x:c r="Q445" s="24"/>
      <x:c r="R445" s="24"/>
    </x:row>
    <x:row r="446" ht="15.75" customHeight="1">
      <x:c r="O446" s="24"/>
      <x:c r="P446" s="24"/>
      <x:c r="Q446" s="24"/>
      <x:c r="R446" s="24"/>
    </x:row>
    <x:row r="447" ht="15.75" customHeight="1">
      <x:c r="O447" s="24"/>
      <x:c r="P447" s="24"/>
      <x:c r="Q447" s="24"/>
      <x:c r="R447" s="24"/>
    </x:row>
    <x:row r="448" ht="15.75" customHeight="1">
      <x:c r="O448" s="24"/>
      <x:c r="P448" s="24"/>
      <x:c r="Q448" s="24"/>
      <x:c r="R448" s="24"/>
    </x:row>
    <x:row r="449" ht="15.75" customHeight="1">
      <x:c r="O449" s="24"/>
      <x:c r="P449" s="24"/>
      <x:c r="Q449" s="24"/>
      <x:c r="R449" s="24"/>
    </x:row>
    <x:row r="450" ht="15.75" customHeight="1">
      <x:c r="O450" s="24"/>
      <x:c r="P450" s="24"/>
      <x:c r="Q450" s="24"/>
      <x:c r="R450" s="24"/>
    </x:row>
    <x:row r="451" ht="15.75" customHeight="1">
      <x:c r="O451" s="24"/>
      <x:c r="P451" s="24"/>
      <x:c r="Q451" s="24"/>
      <x:c r="R451" s="24"/>
    </x:row>
    <x:row r="452" ht="15.75" customHeight="1">
      <x:c r="O452" s="24"/>
      <x:c r="P452" s="24"/>
      <x:c r="Q452" s="24"/>
      <x:c r="R452" s="24"/>
    </x:row>
    <x:row r="453" ht="15.75" customHeight="1">
      <x:c r="O453" s="24"/>
      <x:c r="P453" s="24"/>
      <x:c r="Q453" s="24"/>
      <x:c r="R453" s="24"/>
    </x:row>
    <x:row r="454" ht="15.75" customHeight="1">
      <x:c r="O454" s="24"/>
      <x:c r="P454" s="24"/>
      <x:c r="Q454" s="24"/>
      <x:c r="R454" s="24"/>
    </x:row>
    <x:row r="455" ht="15.75" customHeight="1">
      <x:c r="O455" s="24"/>
      <x:c r="P455" s="24"/>
      <x:c r="Q455" s="24"/>
      <x:c r="R455" s="24"/>
    </x:row>
    <x:row r="456" ht="15.75" customHeight="1">
      <x:c r="O456" s="24"/>
      <x:c r="P456" s="24"/>
      <x:c r="Q456" s="24"/>
      <x:c r="R456" s="24"/>
    </x:row>
    <x:row r="457" ht="15.75" customHeight="1">
      <x:c r="O457" s="24"/>
      <x:c r="P457" s="24"/>
      <x:c r="Q457" s="24"/>
      <x:c r="R457" s="24"/>
    </x:row>
    <x:row r="458" ht="15.75" customHeight="1">
      <x:c r="O458" s="24"/>
      <x:c r="P458" s="24"/>
      <x:c r="Q458" s="24"/>
      <x:c r="R458" s="24"/>
    </x:row>
    <x:row r="459" ht="15.75" customHeight="1">
      <x:c r="O459" s="24"/>
      <x:c r="P459" s="24"/>
      <x:c r="Q459" s="24"/>
      <x:c r="R459" s="24"/>
    </x:row>
    <x:row r="460" ht="15.75" customHeight="1">
      <x:c r="O460" s="24"/>
      <x:c r="P460" s="24"/>
      <x:c r="Q460" s="24"/>
      <x:c r="R460" s="24"/>
    </x:row>
    <x:row r="461" ht="15.75" customHeight="1">
      <x:c r="O461" s="24"/>
      <x:c r="P461" s="24"/>
      <x:c r="Q461" s="24"/>
      <x:c r="R461" s="24"/>
    </x:row>
    <x:row r="462" ht="15.75" customHeight="1">
      <x:c r="O462" s="24"/>
      <x:c r="P462" s="24"/>
      <x:c r="Q462" s="24"/>
      <x:c r="R462" s="24"/>
    </x:row>
    <x:row r="463" ht="15.75" customHeight="1">
      <x:c r="O463" s="24"/>
      <x:c r="P463" s="24"/>
      <x:c r="Q463" s="24"/>
      <x:c r="R463" s="24"/>
    </x:row>
    <x:row r="464" ht="15.75" customHeight="1">
      <x:c r="O464" s="24"/>
      <x:c r="P464" s="24"/>
      <x:c r="Q464" s="24"/>
      <x:c r="R464" s="24"/>
    </x:row>
    <x:row r="465" ht="15.75" customHeight="1">
      <x:c r="O465" s="24"/>
      <x:c r="P465" s="24"/>
      <x:c r="Q465" s="24"/>
      <x:c r="R465" s="24"/>
    </x:row>
    <x:row r="466" ht="15.75" customHeight="1">
      <x:c r="O466" s="24"/>
      <x:c r="P466" s="24"/>
      <x:c r="Q466" s="24"/>
      <x:c r="R466" s="24"/>
    </x:row>
    <x:row r="467" ht="15.75" customHeight="1">
      <x:c r="O467" s="24"/>
      <x:c r="P467" s="24"/>
      <x:c r="Q467" s="24"/>
      <x:c r="R467" s="24"/>
    </x:row>
    <x:row r="468" ht="15.75" customHeight="1">
      <x:c r="O468" s="24"/>
      <x:c r="P468" s="24"/>
      <x:c r="Q468" s="24"/>
      <x:c r="R468" s="24"/>
    </x:row>
    <x:row r="469" ht="15.75" customHeight="1">
      <x:c r="O469" s="24"/>
      <x:c r="P469" s="24"/>
      <x:c r="Q469" s="24"/>
      <x:c r="R469" s="24"/>
    </x:row>
    <x:row r="470" ht="15.75" customHeight="1">
      <x:c r="O470" s="24"/>
      <x:c r="P470" s="24"/>
      <x:c r="Q470" s="24"/>
      <x:c r="R470" s="24"/>
    </x:row>
    <x:row r="471" ht="15.75" customHeight="1">
      <x:c r="O471" s="24"/>
      <x:c r="P471" s="24"/>
      <x:c r="Q471" s="24"/>
      <x:c r="R471" s="24"/>
    </x:row>
    <x:row r="472" ht="15.75" customHeight="1">
      <x:c r="O472" s="24"/>
      <x:c r="P472" s="24"/>
      <x:c r="Q472" s="24"/>
      <x:c r="R472" s="24"/>
    </x:row>
    <x:row r="473" ht="15.75" customHeight="1">
      <x:c r="O473" s="24"/>
      <x:c r="P473" s="24"/>
      <x:c r="Q473" s="24"/>
      <x:c r="R473" s="24"/>
    </x:row>
    <x:row r="474" ht="15.75" customHeight="1">
      <x:c r="O474" s="24"/>
      <x:c r="P474" s="24"/>
      <x:c r="Q474" s="24"/>
      <x:c r="R474" s="24"/>
    </x:row>
    <x:row r="475" ht="15.75" customHeight="1">
      <x:c r="O475" s="24"/>
      <x:c r="P475" s="24"/>
      <x:c r="Q475" s="24"/>
      <x:c r="R475" s="24"/>
    </x:row>
    <x:row r="476" ht="15.75" customHeight="1">
      <x:c r="O476" s="24"/>
      <x:c r="P476" s="24"/>
      <x:c r="Q476" s="24"/>
      <x:c r="R476" s="24"/>
    </x:row>
    <x:row r="477" ht="15.75" customHeight="1">
      <x:c r="O477" s="24"/>
      <x:c r="P477" s="24"/>
      <x:c r="Q477" s="24"/>
      <x:c r="R477" s="24"/>
    </x:row>
    <x:row r="478" ht="15.75" customHeight="1">
      <x:c r="O478" s="24"/>
      <x:c r="P478" s="24"/>
      <x:c r="Q478" s="24"/>
      <x:c r="R478" s="24"/>
    </x:row>
    <x:row r="479" ht="15.75" customHeight="1">
      <x:c r="O479" s="24"/>
      <x:c r="P479" s="24"/>
      <x:c r="Q479" s="24"/>
      <x:c r="R479" s="24"/>
    </x:row>
    <x:row r="480" ht="15.75" customHeight="1">
      <x:c r="O480" s="24"/>
      <x:c r="P480" s="24"/>
      <x:c r="Q480" s="24"/>
      <x:c r="R480" s="24"/>
    </x:row>
    <x:row r="481" ht="15.75" customHeight="1">
      <x:c r="O481" s="24"/>
      <x:c r="P481" s="24"/>
      <x:c r="Q481" s="24"/>
      <x:c r="R481" s="24"/>
    </x:row>
    <x:row r="482" ht="15.75" customHeight="1">
      <x:c r="O482" s="24"/>
      <x:c r="P482" s="24"/>
      <x:c r="Q482" s="24"/>
      <x:c r="R482" s="24"/>
    </x:row>
    <x:row r="483" ht="15.75" customHeight="1">
      <x:c r="O483" s="24"/>
      <x:c r="P483" s="24"/>
      <x:c r="Q483" s="24"/>
      <x:c r="R483" s="24"/>
    </x:row>
    <x:row r="484" ht="15.75" customHeight="1">
      <x:c r="O484" s="24"/>
      <x:c r="P484" s="24"/>
      <x:c r="Q484" s="24"/>
      <x:c r="R484" s="24"/>
    </x:row>
    <x:row r="485" ht="15.75" customHeight="1">
      <x:c r="O485" s="24"/>
      <x:c r="P485" s="24"/>
      <x:c r="Q485" s="24"/>
      <x:c r="R485" s="24"/>
    </x:row>
    <x:row r="486" ht="15.75" customHeight="1">
      <x:c r="O486" s="24"/>
      <x:c r="P486" s="24"/>
      <x:c r="Q486" s="24"/>
      <x:c r="R486" s="24"/>
    </x:row>
    <x:row r="487" ht="15.75" customHeight="1">
      <x:c r="O487" s="24"/>
      <x:c r="P487" s="24"/>
      <x:c r="Q487" s="24"/>
      <x:c r="R487" s="24"/>
    </x:row>
    <x:row r="488" ht="15.75" customHeight="1">
      <x:c r="O488" s="24"/>
      <x:c r="P488" s="24"/>
      <x:c r="Q488" s="24"/>
      <x:c r="R488" s="24"/>
    </x:row>
    <x:row r="489" ht="15.75" customHeight="1">
      <x:c r="O489" s="24"/>
      <x:c r="P489" s="24"/>
      <x:c r="Q489" s="24"/>
      <x:c r="R489" s="24"/>
    </x:row>
    <x:row r="490" ht="15.75" customHeight="1">
      <x:c r="O490" s="24"/>
      <x:c r="P490" s="24"/>
      <x:c r="Q490" s="24"/>
      <x:c r="R490" s="24"/>
    </x:row>
    <x:row r="491" ht="15.75" customHeight="1">
      <x:c r="O491" s="24"/>
      <x:c r="P491" s="24"/>
      <x:c r="Q491" s="24"/>
      <x:c r="R491" s="24"/>
    </x:row>
    <x:row r="492" ht="15.75" customHeight="1">
      <x:c r="O492" s="24"/>
      <x:c r="P492" s="24"/>
      <x:c r="Q492" s="24"/>
      <x:c r="R492" s="24"/>
    </x:row>
    <x:row r="493" ht="15.75" customHeight="1">
      <x:c r="O493" s="24"/>
      <x:c r="P493" s="24"/>
      <x:c r="Q493" s="24"/>
      <x:c r="R493" s="24"/>
    </x:row>
    <x:row r="494" ht="15.75" customHeight="1">
      <x:c r="O494" s="24"/>
      <x:c r="P494" s="24"/>
      <x:c r="Q494" s="24"/>
      <x:c r="R494" s="24"/>
    </x:row>
    <x:row r="495" ht="15.75" customHeight="1">
      <x:c r="O495" s="24"/>
      <x:c r="P495" s="24"/>
      <x:c r="Q495" s="24"/>
      <x:c r="R495" s="24"/>
    </x:row>
    <x:row r="496" ht="15.75" customHeight="1">
      <x:c r="O496" s="24"/>
      <x:c r="P496" s="24"/>
      <x:c r="Q496" s="24"/>
      <x:c r="R496" s="24"/>
    </x:row>
    <x:row r="497" ht="15.75" customHeight="1">
      <x:c r="O497" s="24"/>
      <x:c r="P497" s="24"/>
      <x:c r="Q497" s="24"/>
      <x:c r="R497" s="24"/>
    </x:row>
    <x:row r="498" ht="15.75" customHeight="1">
      <x:c r="O498" s="24"/>
      <x:c r="P498" s="24"/>
      <x:c r="Q498" s="24"/>
      <x:c r="R498" s="24"/>
    </x:row>
    <x:row r="499" ht="15.75" customHeight="1">
      <x:c r="O499" s="24"/>
      <x:c r="P499" s="24"/>
      <x:c r="Q499" s="24"/>
      <x:c r="R499" s="24"/>
    </x:row>
    <x:row r="500" ht="15.75" customHeight="1">
      <x:c r="O500" s="24"/>
      <x:c r="P500" s="24"/>
      <x:c r="Q500" s="24"/>
      <x:c r="R500" s="24"/>
    </x:row>
    <x:row r="501" ht="15.75" customHeight="1">
      <x:c r="O501" s="24"/>
      <x:c r="P501" s="24"/>
      <x:c r="Q501" s="24"/>
      <x:c r="R501" s="24"/>
    </x:row>
    <x:row r="502" ht="15.75" customHeight="1">
      <x:c r="O502" s="24"/>
      <x:c r="P502" s="24"/>
      <x:c r="Q502" s="24"/>
      <x:c r="R502" s="24"/>
    </x:row>
    <x:row r="503" ht="15.75" customHeight="1">
      <x:c r="O503" s="24"/>
      <x:c r="P503" s="24"/>
      <x:c r="Q503" s="24"/>
      <x:c r="R503" s="24"/>
    </x:row>
    <x:row r="504" ht="15.75" customHeight="1">
      <x:c r="O504" s="24"/>
      <x:c r="P504" s="24"/>
      <x:c r="Q504" s="24"/>
      <x:c r="R504" s="24"/>
    </x:row>
    <x:row r="505" ht="15.75" customHeight="1">
      <x:c r="O505" s="24"/>
      <x:c r="P505" s="24"/>
      <x:c r="Q505" s="24"/>
      <x:c r="R505" s="24"/>
    </x:row>
    <x:row r="506" ht="15.75" customHeight="1">
      <x:c r="O506" s="24"/>
      <x:c r="P506" s="24"/>
      <x:c r="Q506" s="24"/>
      <x:c r="R506" s="24"/>
    </x:row>
    <x:row r="507" ht="15.75" customHeight="1">
      <x:c r="O507" s="24"/>
      <x:c r="P507" s="24"/>
      <x:c r="Q507" s="24"/>
      <x:c r="R507" s="24"/>
    </x:row>
    <x:row r="508" ht="15.75" customHeight="1">
      <x:c r="O508" s="24"/>
      <x:c r="P508" s="24"/>
      <x:c r="Q508" s="24"/>
      <x:c r="R508" s="24"/>
    </x:row>
    <x:row r="509" ht="15.75" customHeight="1">
      <x:c r="O509" s="24"/>
      <x:c r="P509" s="24"/>
      <x:c r="Q509" s="24"/>
      <x:c r="R509" s="24"/>
    </x:row>
    <x:row r="510" ht="15.75" customHeight="1">
      <x:c r="O510" s="24"/>
      <x:c r="P510" s="24"/>
      <x:c r="Q510" s="24"/>
      <x:c r="R510" s="24"/>
    </x:row>
    <x:row r="511" ht="15.75" customHeight="1">
      <x:c r="O511" s="24"/>
      <x:c r="P511" s="24"/>
      <x:c r="Q511" s="24"/>
      <x:c r="R511" s="24"/>
    </x:row>
    <x:row r="512" ht="15.75" customHeight="1">
      <x:c r="O512" s="24"/>
      <x:c r="P512" s="24"/>
      <x:c r="Q512" s="24"/>
      <x:c r="R512" s="24"/>
    </x:row>
    <x:row r="513" ht="15.75" customHeight="1">
      <x:c r="O513" s="24"/>
      <x:c r="P513" s="24"/>
      <x:c r="Q513" s="24"/>
      <x:c r="R513" s="24"/>
    </x:row>
    <x:row r="514" ht="15.75" customHeight="1">
      <x:c r="O514" s="24"/>
      <x:c r="P514" s="24"/>
      <x:c r="Q514" s="24"/>
      <x:c r="R514" s="24"/>
    </x:row>
    <x:row r="515" ht="15.75" customHeight="1">
      <x:c r="O515" s="24"/>
      <x:c r="P515" s="24"/>
      <x:c r="Q515" s="24"/>
      <x:c r="R515" s="24"/>
    </x:row>
    <x:row r="516" ht="15.75" customHeight="1">
      <x:c r="O516" s="24"/>
      <x:c r="P516" s="24"/>
      <x:c r="Q516" s="24"/>
      <x:c r="R516" s="24"/>
    </x:row>
    <x:row r="517" ht="15.75" customHeight="1">
      <x:c r="O517" s="24"/>
      <x:c r="P517" s="24"/>
      <x:c r="Q517" s="24"/>
      <x:c r="R517" s="24"/>
    </x:row>
    <x:row r="518" ht="15.75" customHeight="1">
      <x:c r="O518" s="24"/>
      <x:c r="P518" s="24"/>
      <x:c r="Q518" s="24"/>
      <x:c r="R518" s="24"/>
    </x:row>
    <x:row r="519" ht="15.75" customHeight="1">
      <x:c r="O519" s="24"/>
      <x:c r="P519" s="24"/>
      <x:c r="Q519" s="24"/>
      <x:c r="R519" s="24"/>
    </x:row>
    <x:row r="520" ht="15.75" customHeight="1">
      <x:c r="O520" s="24"/>
      <x:c r="P520" s="24"/>
      <x:c r="Q520" s="24"/>
      <x:c r="R520" s="24"/>
    </x:row>
    <x:row r="521" ht="15.75" customHeight="1">
      <x:c r="O521" s="24"/>
      <x:c r="P521" s="24"/>
      <x:c r="Q521" s="24"/>
      <x:c r="R521" s="24"/>
    </x:row>
    <x:row r="522" ht="15.75" customHeight="1">
      <x:c r="O522" s="24"/>
      <x:c r="P522" s="24"/>
      <x:c r="Q522" s="24"/>
      <x:c r="R522" s="24"/>
    </x:row>
    <x:row r="523" ht="15.75" customHeight="1">
      <x:c r="O523" s="24"/>
      <x:c r="P523" s="24"/>
      <x:c r="Q523" s="24"/>
      <x:c r="R523" s="24"/>
    </x:row>
    <x:row r="524" ht="15.75" customHeight="1">
      <x:c r="O524" s="24"/>
      <x:c r="P524" s="24"/>
      <x:c r="Q524" s="24"/>
      <x:c r="R524" s="24"/>
    </x:row>
    <x:row r="525" ht="15.75" customHeight="1">
      <x:c r="O525" s="24"/>
      <x:c r="P525" s="24"/>
      <x:c r="Q525" s="24"/>
      <x:c r="R525" s="24"/>
    </x:row>
    <x:row r="526" ht="15.75" customHeight="1">
      <x:c r="O526" s="24"/>
      <x:c r="P526" s="24"/>
      <x:c r="Q526" s="24"/>
      <x:c r="R526" s="24"/>
    </x:row>
    <x:row r="527" ht="15.75" customHeight="1">
      <x:c r="O527" s="24"/>
      <x:c r="P527" s="24"/>
      <x:c r="Q527" s="24"/>
      <x:c r="R527" s="24"/>
    </x:row>
    <x:row r="528" ht="15.75" customHeight="1">
      <x:c r="O528" s="24"/>
      <x:c r="P528" s="24"/>
      <x:c r="Q528" s="24"/>
      <x:c r="R528" s="24"/>
    </x:row>
    <x:row r="529" ht="15.75" customHeight="1">
      <x:c r="O529" s="24"/>
      <x:c r="P529" s="24"/>
      <x:c r="Q529" s="24"/>
      <x:c r="R529" s="24"/>
    </x:row>
    <x:row r="530" ht="15.75" customHeight="1">
      <x:c r="O530" s="24"/>
      <x:c r="P530" s="24"/>
      <x:c r="Q530" s="24"/>
      <x:c r="R530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  <x:col min="1" max="1" width="85" hidden="0" customWidth="1"/>
  </x:cols>
  <x:sheetData>
    <x:row r="1" ht="15.75" customHeight="1">
      <x:c r="A1" s="25" t="s">
        <x:v>652</x:v>
      </x:c>
    </x:row>
    <x:row r="2" ht="15.75" customHeight="1">
      <x:c r="A2" s="25" t="s">
        <x:v>653</x:v>
      </x:c>
    </x:row>
    <x:row r="3" ht="15.75" customHeight="1">
      <x:c r="A3" s="25" t="s">
        <x:v>654</x:v>
      </x:c>
    </x:row>
    <x:row r="4" ht="15.75" customHeight="1">
      <x:c r="A4" s="25" t="s">
        <x:v>655</x:v>
      </x:c>
    </x:row>
    <x:row r="5" ht="15.75" customHeight="1">
      <x:c r="A5" s="25" t="s">
        <x:v>656</x:v>
      </x:c>
    </x:row>
    <x:row r="6" ht="15.75" customHeight="1">
      <x:c r="A6" s="25" t="s">
        <x:v>657</x:v>
      </x:c>
    </x:row>
    <x:row r="7" ht="15.75" customHeight="1">
      <x:c r="A7" s="25" t="s">
        <x:v>658</x:v>
      </x:c>
    </x:row>
    <x:row r="8" ht="15.75" customHeight="1">
      <x:c r="A8" s="25" t="s">
        <x:v>659</x:v>
      </x:c>
    </x:row>
    <x:row r="9" ht="15.75" customHeight="1">
      <x:c r="A9" s="25" t="s">
        <x:v>660</x:v>
      </x:c>
    </x:row>
    <x:row r="10" ht="15.75" customHeight="1">
      <x:c r="A10" s="25" t="s">
        <x:v>651</x:v>
      </x:c>
    </x:row>
    <x:row r="11" ht="15.75" customHeight="1"/>
    <x:row r="12" ht="15.75" customHeight="1">
      <x:c r="A12" s="76" t="str">
        <x:v>Live-pull integration: ready; fresh RPC values pending GitHub workflow run</x:v>
      </x:c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25" t="s">
        <x:v>661</x:v>
      </x:c>
    </x:row>
    <x:row r="2" ht="15.75" customHeight="1">
      <x:c r="A2" s="23" t="s">
        <x:v>651</x:v>
      </x:c>
      <x:c r="S2" s="26"/>
      <x:c r="T2" s="26"/>
      <x:c r="U2" s="26"/>
    </x:row>
    <x:row r="3" ht="15.75" customHeight="1">
      <x:c r="A3" s="25" t="s">
        <x:v>662</x:v>
      </x:c>
      <x:c r="S3" s="26"/>
      <x:c r="T3" s="26"/>
      <x:c r="U3" s="26"/>
    </x:row>
    <x:row r="4" ht="15.75" customHeight="1">
      <x:c r="A4" s="25" t="s">
        <x:v>663</x:v>
      </x:c>
      <x:c r="S4" s="26"/>
      <x:c r="T4" s="26"/>
      <x:c r="U4" s="26"/>
    </x:row>
    <x:row r="5" ht="15.75" customHeight="1">
      <x:c r="A5" s="23" t="s">
        <x:v>651</x:v>
      </x:c>
      <x:c r="S5" s="26"/>
      <x:c r="T5" s="26"/>
      <x:c r="U5" s="26"/>
    </x:row>
    <x:row r="6" ht="15.75" customHeight="1">
      <x:c r="A6" s="25" t="s">
        <x:v>664</x:v>
      </x:c>
      <x:c r="S6" s="26"/>
      <x:c r="T6" s="26"/>
      <x:c r="U6" s="26"/>
    </x:row>
    <x:row r="7" ht="15.75" customHeight="1">
      <x:c r="A7" s="25" t="s">
        <x:v>665</x:v>
      </x:c>
      <x:c r="S7" s="26"/>
      <x:c r="T7" s="26"/>
      <x:c r="U7" s="26"/>
    </x:row>
    <x:row r="8" ht="15.75" customHeight="1">
      <x:c r="A8" s="23" t="s">
        <x:v>651</x:v>
      </x:c>
      <x:c r="S8" s="26"/>
      <x:c r="T8" s="26"/>
      <x:c r="U8" s="26"/>
    </x:row>
    <x:row r="9" ht="15.75" customHeight="1">
      <x:c r="A9" s="25" t="s">
        <x:v>666</x:v>
      </x:c>
      <x:c r="S9" s="26"/>
      <x:c r="T9" s="26"/>
      <x:c r="U9" s="26"/>
    </x:row>
    <x:row r="10" ht="15.75" customHeight="1">
      <x:c r="A10" s="27" t="e">
        <x:f>HYPERLINK("https://t.me/sunnyspubv2", "https://t.me/sunnyspubv2")</x:f>
      </x:c>
      <x:c r="S10" s="26"/>
      <x:c r="T10" s="26"/>
      <x:c r="U10" s="26"/>
    </x:row>
    <x:row r="11" ht="15.75" customHeight="1">
      <x:c r="A11" s="23" t="s">
        <x:v>651</x:v>
      </x:c>
      <x:c r="S11" s="26"/>
      <x:c r="T11" s="26"/>
      <x:c r="U11" s="26"/>
    </x:row>
    <x:row r="12" ht="15.75" customHeight="1">
      <x:c r="S12" s="26"/>
      <x:c r="T12" s="26"/>
      <x:c r="U12" s="26"/>
    </x:row>
    <x:row r="13" ht="15.75" customHeight="1">
      <x:c r="S13" s="26"/>
      <x:c r="T13" s="26"/>
      <x:c r="U13" s="26"/>
    </x:row>
    <x:row r="14" ht="15.75" customHeight="1">
      <x:c r="S14" s="26"/>
      <x:c r="T14" s="26"/>
      <x:c r="U14" s="26"/>
    </x:row>
    <x:row r="15" ht="15.75" customHeight="1">
      <x:c r="S15" s="26"/>
      <x:c r="T15" s="26"/>
      <x:c r="U15" s="26"/>
    </x:row>
    <x:row r="16" ht="15.75" customHeight="1">
      <x:c r="S16" s="26"/>
      <x:c r="T16" s="26"/>
      <x:c r="U16" s="26"/>
    </x:row>
    <x:row r="17" ht="15.75" customHeight="1">
      <x:c r="S17" s="26"/>
      <x:c r="T17" s="26"/>
      <x:c r="U17" s="26"/>
    </x:row>
    <x:row r="18" ht="15.75" customHeight="1">
      <x:c r="S18" s="26"/>
      <x:c r="T18" s="26"/>
      <x:c r="U18" s="26"/>
    </x:row>
    <x:row r="19" ht="15.75" customHeight="1">
      <x:c r="S19" s="26"/>
      <x:c r="T19" s="26"/>
      <x:c r="U19" s="26"/>
    </x:row>
    <x:row r="20" ht="15.75" customHeight="1">
      <x:c r="S20" s="26"/>
      <x:c r="T20" s="26"/>
      <x:c r="U20" s="26"/>
    </x:row>
    <x:row r="21" ht="15.75" customHeight="1">
      <x:c r="S21" s="26"/>
      <x:c r="T21" s="26"/>
      <x:c r="U21" s="26"/>
    </x:row>
    <x:row r="22" ht="15.75" customHeight="1"/>
    <x:row r="23" ht="15.75" customHeight="1">
      <x:c r="S23" s="26"/>
      <x:c r="T23" s="26"/>
      <x:c r="U23" s="26"/>
    </x:row>
    <x:row r="24" ht="15.75" customHeight="1"/>
    <x:row r="25" ht="15.75" customHeight="1">
      <x:c r="S25" s="26"/>
      <x:c r="T25" s="26"/>
      <x:c r="U25" s="26"/>
    </x:row>
    <x:row r="26" ht="15.75" customHeight="1">
      <x:c r="S26" s="26"/>
      <x:c r="T26" s="26"/>
      <x:c r="U26" s="26"/>
    </x:row>
    <x:row r="27" ht="15.75" customHeight="1">
      <x:c r="S27" s="26"/>
      <x:c r="T27" s="26"/>
      <x:c r="U27" s="26"/>
    </x:row>
    <x:row r="28" ht="15.75" customHeight="1">
      <x:c r="S28" s="26"/>
      <x:c r="T28" s="26"/>
      <x:c r="U28" s="26"/>
    </x:row>
    <x:row r="29" ht="15.75" customHeight="1"/>
    <x:row r="30" ht="15.75" customHeight="1">
      <x:c r="S30" s="26"/>
      <x:c r="T30" s="26"/>
      <x:c r="U30" s="26"/>
    </x:row>
    <x:row r="31" ht="15.75" customHeight="1">
      <x:c r="S31" s="26"/>
      <x:c r="T31" s="26"/>
      <x:c r="U31" s="26"/>
    </x:row>
    <x:row r="32" ht="15.75" customHeight="1">
      <x:c r="S32" s="26"/>
      <x:c r="T32" s="26"/>
      <x:c r="U32" s="26"/>
    </x:row>
    <x:row r="33" ht="15.75" customHeight="1">
      <x:c r="S33" s="26"/>
      <x:c r="T33" s="26"/>
      <x:c r="U33" s="26"/>
    </x:row>
    <x:row r="34" ht="15.75" customHeight="1">
      <x:c r="S34" s="26"/>
      <x:c r="T34" s="26"/>
      <x:c r="U34" s="26"/>
    </x:row>
    <x:row r="35" ht="15.75" customHeight="1">
      <x:c r="S35" s="26"/>
      <x:c r="T35" s="26"/>
      <x:c r="U35" s="26"/>
    </x:row>
    <x:row r="36" ht="15.75" customHeight="1">
      <x:c r="S36" s="26"/>
      <x:c r="T36" s="26"/>
      <x:c r="U36" s="26"/>
    </x:row>
    <x:row r="37" ht="15.75" customHeight="1">
      <x:c r="S37" s="26"/>
      <x:c r="T37" s="26"/>
      <x:c r="U37" s="26"/>
    </x:row>
    <x:row r="38" ht="15.75" customHeight="1"/>
    <x:row r="39" ht="15.75" customHeight="1">
      <x:c r="S39" s="26"/>
      <x:c r="T39" s="26"/>
      <x:c r="U39" s="26"/>
    </x:row>
    <x:row r="40" ht="15.75" customHeight="1">
      <x:c r="S40" s="26"/>
      <x:c r="T40" s="26"/>
      <x:c r="U40" s="26"/>
    </x:row>
    <x:row r="41" ht="15.75" customHeight="1">
      <x:c r="S41" s="26"/>
      <x:c r="T41" s="26"/>
      <x:c r="U41" s="26"/>
    </x:row>
    <x:row r="42" ht="15.75" customHeight="1">
      <x:c r="S42" s="26"/>
      <x:c r="T42" s="26"/>
      <x:c r="U42" s="26"/>
    </x:row>
    <x:row r="43" ht="15.75" customHeight="1">
      <x:c r="S43" s="26"/>
      <x:c r="T43" s="26"/>
      <x:c r="U43" s="26"/>
    </x:row>
    <x:row r="44" ht="15.75" customHeight="1">
      <x:c r="S44" s="26"/>
      <x:c r="T44" s="26"/>
      <x:c r="U44" s="26"/>
    </x:row>
    <x:row r="45" ht="15.75" customHeight="1">
      <x:c r="S45" s="26"/>
      <x:c r="T45" s="26"/>
      <x:c r="U45" s="26"/>
    </x:row>
    <x:row r="46" ht="15.75" customHeight="1">
      <x:c r="S46" s="26"/>
      <x:c r="T46" s="26"/>
      <x:c r="U46" s="26"/>
    </x:row>
    <x:row r="47" ht="15.75" customHeight="1">
      <x:c r="S47" s="26"/>
      <x:c r="T47" s="26"/>
      <x:c r="U47" s="26"/>
    </x:row>
    <x:row r="48" ht="15.75" customHeight="1">
      <x:c r="S48" s="26"/>
      <x:c r="T48" s="26"/>
      <x:c r="U48" s="26"/>
    </x:row>
    <x:row r="49" ht="15.75" customHeight="1">
      <x:c r="S49" s="26"/>
      <x:c r="T49" s="26"/>
      <x:c r="U49" s="26"/>
    </x:row>
    <x:row r="50" ht="15.75" customHeight="1">
      <x:c r="S50" s="26"/>
      <x:c r="T50" s="26"/>
      <x:c r="U50" s="26"/>
    </x:row>
    <x:row r="51" ht="15.75" customHeight="1">
      <x:c r="S51" s="26"/>
      <x:c r="T51" s="26"/>
      <x:c r="U51" s="26"/>
    </x:row>
    <x:row r="52" ht="15.75" customHeight="1">
      <x:c r="S52" s="26"/>
      <x:c r="T52" s="26"/>
      <x:c r="U52" s="26"/>
    </x:row>
    <x:row r="53" ht="15.75" customHeight="1">
      <x:c r="S53" s="26"/>
      <x:c r="T53" s="26"/>
      <x:c r="U53" s="26"/>
    </x:row>
    <x:row r="54" ht="15.75" customHeight="1">
      <x:c r="S54" s="26"/>
      <x:c r="T54" s="26"/>
      <x:c r="U54" s="26"/>
    </x:row>
    <x:row r="55" ht="15.75" customHeight="1">
      <x:c r="S55" s="26"/>
      <x:c r="T55" s="26"/>
      <x:c r="U55" s="26"/>
    </x:row>
    <x:row r="56" ht="15.75" customHeight="1">
      <x:c r="S56" s="26"/>
      <x:c r="T56" s="26"/>
      <x:c r="U56" s="26"/>
    </x:row>
    <x:row r="57" ht="15.75" customHeight="1">
      <x:c r="S57" s="26"/>
      <x:c r="T57" s="26"/>
      <x:c r="U57" s="26"/>
    </x:row>
    <x:row r="58" ht="15.75" customHeight="1">
      <x:c r="S58" s="26"/>
      <x:c r="T58" s="26"/>
      <x:c r="U58" s="26"/>
    </x:row>
    <x:row r="59" ht="15.75" customHeight="1"/>
    <x:row r="60" ht="15.75" customHeight="1">
      <x:c r="S60" s="26"/>
      <x:c r="T60" s="26"/>
      <x:c r="U60" s="26"/>
    </x:row>
    <x:row r="61" ht="15.75" customHeight="1">
      <x:c r="S61" s="26"/>
      <x:c r="T61" s="26"/>
      <x:c r="U61" s="26"/>
    </x:row>
    <x:row r="62" ht="15.75" customHeight="1">
      <x:c r="S62" s="26"/>
      <x:c r="T62" s="26"/>
      <x:c r="U62" s="26"/>
    </x:row>
    <x:row r="63" ht="15.75" customHeight="1">
      <x:c r="S63" s="26"/>
      <x:c r="T63" s="26"/>
      <x:c r="U63" s="26"/>
    </x:row>
    <x:row r="64" ht="15.75" customHeight="1">
      <x:c r="S64" s="26"/>
      <x:c r="T64" s="26"/>
      <x:c r="U64" s="26"/>
    </x:row>
    <x:row r="65" ht="15.75" customHeight="1">
      <x:c r="S65" s="26"/>
      <x:c r="T65" s="26"/>
      <x:c r="U65" s="26"/>
    </x:row>
    <x:row r="66" ht="15.75" customHeight="1">
      <x:c r="S66" s="26"/>
      <x:c r="T66" s="26"/>
      <x:c r="U66" s="26"/>
    </x:row>
    <x:row r="67" ht="15.75" customHeight="1">
      <x:c r="S67" s="26"/>
      <x:c r="T67" s="26"/>
      <x:c r="U67" s="26"/>
    </x:row>
    <x:row r="68" ht="15.75" customHeight="1">
      <x:c r="S68" s="26"/>
      <x:c r="T68" s="26"/>
      <x:c r="U68" s="26"/>
    </x:row>
    <x:row r="69" ht="15.75" customHeight="1">
      <x:c r="S69" s="26"/>
      <x:c r="T69" s="26"/>
      <x:c r="U69" s="26"/>
    </x:row>
    <x:row r="70" ht="15.75" customHeight="1">
      <x:c r="S70" s="26"/>
      <x:c r="T70" s="26"/>
      <x:c r="U70" s="26"/>
    </x:row>
    <x:row r="71" ht="15.75" customHeight="1">
      <x:c r="S71" s="26"/>
      <x:c r="T71" s="26"/>
      <x:c r="U71" s="26"/>
    </x:row>
    <x:row r="72" ht="15.75" customHeight="1">
      <x:c r="S72" s="26"/>
      <x:c r="T72" s="26"/>
      <x:c r="U72" s="26"/>
    </x:row>
    <x:row r="73" ht="15.75" customHeight="1">
      <x:c r="S73" s="26"/>
      <x:c r="T73" s="26"/>
      <x:c r="U73" s="26"/>
    </x:row>
    <x:row r="74" ht="15.75" customHeight="1">
      <x:c r="S74" s="26"/>
      <x:c r="T74" s="26"/>
      <x:c r="U74" s="26"/>
    </x:row>
    <x:row r="75" ht="15.75" customHeight="1">
      <x:c r="S75" s="26"/>
      <x:c r="T75" s="26"/>
      <x:c r="U75" s="26"/>
    </x:row>
    <x:row r="76" ht="15.75" customHeight="1">
      <x:c r="S76" s="26"/>
      <x:c r="T76" s="26"/>
      <x:c r="U76" s="26"/>
    </x:row>
    <x:row r="77" ht="15.75" customHeight="1">
      <x:c r="S77" s="26"/>
      <x:c r="T77" s="26"/>
      <x:c r="U77" s="26"/>
    </x:row>
    <x:row r="78" ht="15.75" customHeight="1">
      <x:c r="S78" s="26"/>
      <x:c r="T78" s="26"/>
      <x:c r="U78" s="26"/>
    </x:row>
    <x:row r="79" ht="15.75" customHeight="1">
      <x:c r="S79" s="26"/>
      <x:c r="T79" s="26"/>
      <x:c r="U79" s="26"/>
    </x:row>
    <x:row r="80" ht="15.75" customHeight="1">
      <x:c r="S80" s="26"/>
      <x:c r="T80" s="26"/>
      <x:c r="U80" s="26"/>
    </x:row>
    <x:row r="81" ht="15.75" customHeight="1">
      <x:c r="S81" s="26"/>
      <x:c r="T81" s="26"/>
      <x:c r="U81" s="26"/>
    </x:row>
    <x:row r="82" ht="15.75" customHeight="1">
      <x:c r="S82" s="26"/>
      <x:c r="T82" s="26"/>
      <x:c r="U82" s="26"/>
    </x:row>
    <x:row r="83" ht="15.75" customHeight="1">
      <x:c r="S83" s="26"/>
      <x:c r="T83" s="26"/>
      <x:c r="U83" s="26"/>
    </x:row>
    <x:row r="84" ht="15.75" customHeight="1">
      <x:c r="S84" s="26"/>
      <x:c r="T84" s="26"/>
      <x:c r="U84" s="26"/>
    </x:row>
    <x:row r="85" ht="15.75" customHeight="1">
      <x:c r="S85" s="26"/>
      <x:c r="T85" s="26"/>
      <x:c r="U85" s="26"/>
    </x:row>
    <x:row r="86" ht="15.75" customHeight="1">
      <x:c r="S86" s="26"/>
      <x:c r="T86" s="26"/>
      <x:c r="U86" s="26"/>
    </x:row>
    <x:row r="87" ht="15.75" customHeight="1">
      <x:c r="S87" s="26"/>
      <x:c r="T87" s="26"/>
      <x:c r="U87" s="26"/>
    </x:row>
    <x:row r="88" ht="15.75" customHeight="1">
      <x:c r="S88" s="26"/>
      <x:c r="T88" s="26"/>
      <x:c r="U88" s="26"/>
    </x:row>
    <x:row r="89" ht="15.75" customHeight="1">
      <x:c r="S89" s="26"/>
      <x:c r="T89" s="26"/>
      <x:c r="U89" s="26"/>
    </x:row>
    <x:row r="90" ht="15.75" customHeight="1">
      <x:c r="S90" s="26"/>
      <x:c r="T90" s="26"/>
      <x:c r="U90" s="26"/>
    </x:row>
    <x:row r="91" ht="15.75" customHeight="1">
      <x:c r="S91" s="26"/>
      <x:c r="T91" s="26"/>
      <x:c r="U91" s="26"/>
    </x:row>
    <x:row r="92" ht="15.75" customHeight="1">
      <x:c r="S92" s="26"/>
      <x:c r="T92" s="26"/>
      <x:c r="U92" s="26"/>
    </x:row>
    <x:row r="93" ht="15.75" customHeight="1">
      <x:c r="S93" s="26"/>
      <x:c r="T93" s="26"/>
      <x:c r="U93" s="26"/>
    </x:row>
    <x:row r="94" ht="15.75" customHeight="1">
      <x:c r="S94" s="26"/>
      <x:c r="T94" s="26"/>
      <x:c r="U94" s="26"/>
    </x:row>
    <x:row r="95" ht="15.75" customHeight="1">
      <x:c r="S95" s="26"/>
      <x:c r="T95" s="26"/>
      <x:c r="U95" s="26"/>
    </x:row>
    <x:row r="96" ht="15.75" customHeight="1">
      <x:c r="S96" s="26"/>
      <x:c r="T96" s="26"/>
      <x:c r="U96" s="26"/>
    </x:row>
    <x:row r="97" ht="15.75" customHeight="1">
      <x:c r="S97" s="26"/>
      <x:c r="T97" s="26"/>
      <x:c r="U97" s="26"/>
    </x:row>
    <x:row r="98" ht="15.75" customHeight="1">
      <x:c r="S98" s="26"/>
      <x:c r="T98" s="26"/>
      <x:c r="U98" s="26"/>
    </x:row>
    <x:row r="99" ht="15.75" customHeight="1">
      <x:c r="S99" s="26"/>
      <x:c r="T99" s="26"/>
      <x:c r="U99" s="26"/>
    </x:row>
    <x:row r="100" ht="15.75" customHeight="1">
      <x:c r="S100" s="26"/>
      <x:c r="T100" s="26"/>
      <x:c r="U100" s="26"/>
    </x:row>
    <x:row r="101" ht="15.75" customHeight="1"/>
    <x:row r="102" ht="15.75" customHeight="1">
      <x:c r="S102" s="26"/>
      <x:c r="T102" s="26"/>
      <x:c r="U102" s="26"/>
    </x:row>
    <x:row r="103" ht="15.75" customHeight="1">
      <x:c r="S103" s="26"/>
      <x:c r="T103" s="26"/>
      <x:c r="U103" s="26"/>
    </x:row>
    <x:row r="104" ht="15.75" customHeight="1">
      <x:c r="S104" s="26"/>
      <x:c r="T104" s="26"/>
      <x:c r="U104" s="26"/>
    </x:row>
    <x:row r="105" ht="15.75" customHeight="1">
      <x:c r="S105" s="26"/>
      <x:c r="T105" s="26"/>
      <x:c r="U105" s="26"/>
    </x:row>
    <x:row r="106" ht="15.75" customHeight="1">
      <x:c r="S106" s="26"/>
      <x:c r="T106" s="26"/>
      <x:c r="U106" s="26"/>
    </x:row>
    <x:row r="107" ht="15.75" customHeight="1">
      <x:c r="S107" s="26"/>
      <x:c r="T107" s="26"/>
      <x:c r="U107" s="26"/>
    </x:row>
    <x:row r="108" ht="15.75" customHeight="1">
      <x:c r="S108" s="26"/>
      <x:c r="T108" s="26"/>
      <x:c r="U108" s="26"/>
    </x:row>
    <x:row r="109" ht="15.75" customHeight="1">
      <x:c r="S109" s="26"/>
      <x:c r="T109" s="26"/>
      <x:c r="U109" s="26"/>
    </x:row>
    <x:row r="110" ht="15.75" customHeight="1">
      <x:c r="S110" s="26"/>
      <x:c r="T110" s="26"/>
      <x:c r="U110" s="26"/>
    </x:row>
    <x:row r="111" ht="15.75" customHeight="1">
      <x:c r="S111" s="26"/>
      <x:c r="T111" s="26"/>
      <x:c r="U111" s="26"/>
    </x:row>
    <x:row r="112" ht="15.75" customHeight="1">
      <x:c r="S112" s="26"/>
      <x:c r="T112" s="26"/>
      <x:c r="U112" s="26"/>
    </x:row>
    <x:row r="113" ht="15.75" customHeight="1">
      <x:c r="S113" s="26"/>
      <x:c r="T113" s="26"/>
      <x:c r="U113" s="26"/>
    </x:row>
    <x:row r="114" ht="15.75" customHeight="1">
      <x:c r="S114" s="26"/>
      <x:c r="T114" s="26"/>
      <x:c r="U114" s="26"/>
    </x:row>
    <x:row r="115" ht="15.75" customHeight="1">
      <x:c r="S115" s="26"/>
      <x:c r="T115" s="26"/>
      <x:c r="U115" s="26"/>
    </x:row>
    <x:row r="116" ht="15.75" customHeight="1">
      <x:c r="S116" s="26"/>
      <x:c r="T116" s="26"/>
      <x:c r="U116" s="26"/>
    </x:row>
    <x:row r="117" ht="15.75" customHeight="1">
      <x:c r="S117" s="26"/>
      <x:c r="T117" s="26"/>
      <x:c r="U117" s="26"/>
    </x:row>
    <x:row r="118" ht="15.75" customHeight="1">
      <x:c r="S118" s="26"/>
      <x:c r="T118" s="26"/>
      <x:c r="U118" s="26"/>
    </x:row>
    <x:row r="119" ht="15.75" customHeight="1">
      <x:c r="S119" s="26"/>
      <x:c r="T119" s="26"/>
      <x:c r="U119" s="26"/>
    </x:row>
    <x:row r="120" ht="15.75" customHeight="1">
      <x:c r="S120" s="26"/>
      <x:c r="T120" s="26"/>
      <x:c r="U120" s="26"/>
    </x:row>
    <x:row r="121" ht="15.75" customHeight="1">
      <x:c r="S121" s="26"/>
      <x:c r="T121" s="26"/>
      <x:c r="U121" s="26"/>
    </x:row>
    <x:row r="122" ht="15.75" customHeight="1">
      <x:c r="S122" s="26"/>
      <x:c r="T122" s="26"/>
      <x:c r="U122" s="26"/>
    </x:row>
    <x:row r="123" ht="15.75" customHeight="1">
      <x:c r="S123" s="26"/>
      <x:c r="T123" s="26"/>
      <x:c r="U123" s="26"/>
    </x:row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>
      <x:c r="S130" s="26"/>
      <x:c r="T130" s="26"/>
      <x:c r="U130" s="26"/>
    </x:row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>
      <x:c r="S149" s="26"/>
      <x:c r="T149" s="26"/>
      <x:c r="U149" s="26"/>
    </x:row>
    <x:row r="150" ht="15.75" customHeight="1">
      <x:c r="S150" s="26"/>
      <x:c r="T150" s="26"/>
      <x:c r="U150" s="26"/>
    </x:row>
    <x:row r="151" ht="15.75" customHeight="1">
      <x:c r="S151" s="26"/>
      <x:c r="T151" s="26"/>
      <x:c r="U151" s="26"/>
    </x:row>
    <x:row r="152" ht="15.75" customHeight="1">
      <x:c r="S152" s="26"/>
      <x:c r="T152" s="26"/>
      <x:c r="U152" s="26"/>
    </x:row>
    <x:row r="153" ht="15.75" customHeight="1">
      <x:c r="S153" s="26"/>
      <x:c r="T153" s="26"/>
      <x:c r="U153" s="26"/>
    </x:row>
    <x:row r="154" ht="15.75" customHeight="1">
      <x:c r="S154" s="26"/>
      <x:c r="T154" s="26"/>
      <x:c r="U154" s="26"/>
    </x:row>
    <x:row r="155" ht="15.75" customHeight="1">
      <x:c r="S155" s="26"/>
      <x:c r="T155" s="26"/>
      <x:c r="U155" s="26"/>
    </x:row>
    <x:row r="156" ht="15.75" customHeight="1">
      <x:c r="S156" s="26"/>
      <x:c r="T156" s="26"/>
      <x:c r="U156" s="26"/>
    </x:row>
    <x:row r="157" ht="15.75" customHeight="1">
      <x:c r="S157" s="26"/>
      <x:c r="T157" s="26"/>
      <x:c r="U157" s="26"/>
    </x:row>
    <x:row r="158" ht="15.75" customHeight="1">
      <x:c r="S158" s="26"/>
      <x:c r="T158" s="26"/>
      <x:c r="U158" s="26"/>
    </x:row>
    <x:row r="159" ht="15.75" customHeight="1">
      <x:c r="S159" s="26"/>
      <x:c r="T159" s="26"/>
      <x:c r="U159" s="26"/>
    </x:row>
    <x:row r="160" ht="15.75" customHeight="1">
      <x:c r="S160" s="26"/>
      <x:c r="T160" s="26"/>
      <x:c r="U160" s="26"/>
    </x:row>
    <x:row r="161" ht="15.75" customHeight="1">
      <x:c r="S161" s="26"/>
      <x:c r="T161" s="26"/>
      <x:c r="U161" s="26"/>
    </x:row>
    <x:row r="162" ht="15.75" customHeight="1">
      <x:c r="S162" s="26"/>
      <x:c r="T162" s="26"/>
      <x:c r="U162" s="26"/>
    </x:row>
    <x:row r="163" ht="15.75" customHeight="1">
      <x:c r="S163" s="26"/>
      <x:c r="T163" s="26"/>
      <x:c r="U163" s="26"/>
    </x:row>
    <x:row r="164" ht="15.75" customHeight="1">
      <x:c r="S164" s="26"/>
      <x:c r="T164" s="26"/>
      <x:c r="U164" s="26"/>
    </x:row>
    <x:row r="165" ht="15.75" customHeight="1">
      <x:c r="S165" s="26"/>
      <x:c r="T165" s="26"/>
      <x:c r="U165" s="26"/>
    </x:row>
    <x:row r="166" ht="15.75" customHeight="1">
      <x:c r="S166" s="26"/>
      <x:c r="T166" s="26"/>
      <x:c r="U166" s="26"/>
    </x:row>
    <x:row r="167" ht="15.75" customHeight="1">
      <x:c r="S167" s="26"/>
      <x:c r="T167" s="26"/>
      <x:c r="U167" s="26"/>
    </x:row>
    <x:row r="168" ht="15.75" customHeight="1">
      <x:c r="S168" s="26"/>
      <x:c r="T168" s="26"/>
      <x:c r="U168" s="26"/>
    </x:row>
    <x:row r="169" ht="15.75" customHeight="1">
      <x:c r="S169" s="26"/>
      <x:c r="T169" s="26"/>
      <x:c r="U169" s="26"/>
    </x:row>
    <x:row r="170" ht="15.75" customHeight="1">
      <x:c r="S170" s="26"/>
      <x:c r="T170" s="26"/>
      <x:c r="U170" s="26"/>
    </x:row>
    <x:row r="171" ht="15.75" customHeight="1">
      <x:c r="S171" s="26"/>
      <x:c r="T171" s="26"/>
      <x:c r="U171" s="26"/>
    </x:row>
    <x:row r="172" ht="15.75" customHeight="1">
      <x:c r="S172" s="26"/>
      <x:c r="T172" s="26"/>
      <x:c r="U172" s="26"/>
    </x:row>
    <x:row r="173" ht="15.75" customHeight="1">
      <x:c r="S173" s="26"/>
      <x:c r="T173" s="26"/>
      <x:c r="U173" s="26"/>
    </x:row>
    <x:row r="174" ht="15.75" customHeight="1">
      <x:c r="S174" s="26"/>
      <x:c r="T174" s="26"/>
      <x:c r="U174" s="26"/>
    </x:row>
    <x:row r="175" ht="15.75" customHeight="1">
      <x:c r="S175" s="26"/>
      <x:c r="T175" s="26"/>
      <x:c r="U175" s="26"/>
    </x:row>
    <x:row r="176" ht="15.75" customHeight="1">
      <x:c r="S176" s="26"/>
      <x:c r="T176" s="26"/>
      <x:c r="U176" s="26"/>
    </x:row>
    <x:row r="177" ht="15.75" customHeight="1">
      <x:c r="S177" s="26"/>
      <x:c r="T177" s="26"/>
      <x:c r="U177" s="26"/>
    </x:row>
    <x:row r="178" ht="15.75" customHeight="1">
      <x:c r="S178" s="26"/>
      <x:c r="T178" s="26"/>
      <x:c r="U178" s="26"/>
    </x:row>
    <x:row r="179" ht="15.75" customHeight="1"/>
    <x:row r="180" ht="15.75" customHeight="1">
      <x:c r="S180" s="26"/>
      <x:c r="T180" s="26"/>
      <x:c r="U180" s="26"/>
    </x:row>
    <x:row r="181" ht="15.75" customHeight="1">
      <x:c r="S181" s="26"/>
      <x:c r="T181" s="26"/>
      <x:c r="U181" s="26"/>
    </x:row>
    <x:row r="182" ht="15.75" customHeight="1">
      <x:c r="S182" s="26"/>
      <x:c r="T182" s="26"/>
      <x:c r="U182" s="26"/>
    </x:row>
    <x:row r="183" ht="15.75" customHeight="1">
      <x:c r="S183" s="26"/>
      <x:c r="T183" s="26"/>
      <x:c r="U183" s="26"/>
    </x:row>
    <x:row r="184" ht="15.75" customHeight="1">
      <x:c r="S184" s="26"/>
      <x:c r="T184" s="26"/>
      <x:c r="U184" s="26"/>
    </x:row>
    <x:row r="185" ht="15.75" customHeight="1">
      <x:c r="S185" s="26"/>
      <x:c r="T185" s="26"/>
      <x:c r="U185" s="26"/>
    </x:row>
    <x:row r="186" ht="15.75" customHeight="1">
      <x:c r="S186" s="26"/>
      <x:c r="T186" s="26"/>
      <x:c r="U186" s="26"/>
    </x:row>
    <x:row r="187" ht="15.75" customHeight="1">
      <x:c r="S187" s="26"/>
      <x:c r="T187" s="26"/>
      <x:c r="U187" s="26"/>
    </x:row>
    <x:row r="188" ht="15.75" customHeight="1">
      <x:c r="S188" s="26"/>
      <x:c r="T188" s="26"/>
      <x:c r="U188" s="26"/>
    </x:row>
    <x:row r="189" ht="15.75" customHeight="1">
      <x:c r="S189" s="26"/>
      <x:c r="T189" s="26"/>
      <x:c r="U189" s="26"/>
    </x:row>
    <x:row r="190" ht="15.75" customHeight="1">
      <x:c r="S190" s="26"/>
      <x:c r="T190" s="26"/>
      <x:c r="U190" s="26"/>
    </x:row>
    <x:row r="191" ht="15.75" customHeight="1">
      <x:c r="S191" s="26"/>
      <x:c r="T191" s="26"/>
      <x:c r="U191" s="26"/>
    </x:row>
    <x:row r="192" ht="15.75" customHeight="1">
      <x:c r="S192" s="26"/>
      <x:c r="T192" s="26"/>
      <x:c r="U192" s="26"/>
    </x:row>
    <x:row r="193" ht="15.75" customHeight="1">
      <x:c r="S193" s="26"/>
      <x:c r="T193" s="26"/>
      <x:c r="U193" s="26"/>
    </x:row>
    <x:row r="194" ht="15.75" customHeight="1">
      <x:c r="S194" s="26"/>
      <x:c r="T194" s="26"/>
      <x:c r="U194" s="26"/>
    </x:row>
    <x:row r="195" ht="15.75" customHeight="1">
      <x:c r="S195" s="26"/>
      <x:c r="T195" s="26"/>
      <x:c r="U195" s="26"/>
    </x:row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>
      <x:c r="S204" s="26"/>
      <x:c r="T204" s="26"/>
      <x:c r="U204" s="26"/>
    </x:row>
    <x:row r="205" ht="15.75" customHeight="1">
      <x:c r="S205" s="26"/>
      <x:c r="T205" s="26"/>
      <x:c r="U205" s="26"/>
    </x:row>
    <x:row r="206" ht="15.75" customHeight="1">
      <x:c r="S206" s="26"/>
      <x:c r="T206" s="26"/>
      <x:c r="U206" s="26"/>
    </x:row>
    <x:row r="207" ht="15.75" customHeight="1"/>
    <x:row r="208" ht="15.75" customHeight="1">
      <x:c r="S208" s="26"/>
      <x:c r="T208" s="26"/>
      <x:c r="U208" s="26"/>
    </x:row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>
      <x:c r="S218" s="26"/>
      <x:c r="T218" s="26"/>
      <x:c r="U218" s="26"/>
    </x:row>
    <x:row r="219" ht="15.75" customHeight="1"/>
    <x:row r="22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25" t="s">
        <x:v>667</x:v>
      </x:c>
    </x:row>
    <x:row r="2" ht="15.75" customHeight="1">
      <x:c r="A2" s="27" t="e">
        <x:f>HYPERLINK("https://docs.google.com/spreadsheets/d/18bPzn_T0EMv1reTz5ct6OZIomLu7fEOmAncSsSsyRlk/edit?usp=sharing", "Atropa")</x:f>
      </x:c>
    </x:row>
    <x:row r="3" ht="15.75" customHeight="1">
      <x:c r="A3" s="27" t="e">
        <x:f>HYPERLINK("https://docs.google.com/spreadsheets/d/16jDhtDY4g6auw1JZwPX-Sr_0wDub6nT_y2tIgSJ11sg/edit?usp=sharing", "Dysnomia Chat Log Tokens")</x:f>
      </x:c>
    </x:row>
    <x:row r="4" ht="15.75" customHeight="1">
      <x:c r="A4" s="27" t="e">
        <x:f>HYPERLINK("https://docs.google.com/spreadsheets/d/11bTqf7zBQoEvJlZM0P2jON547sPnUjpYZmSkt5hcotc/edit?usp=sharing", "Kymato")</x:f>
      </x:c>
    </x:row>
    <x:row r="5" ht="15.75" customHeight="1">
      <x:c r="A5" s="27" t="e">
        <x:f>HYPERLINK("https://docs.google.com/spreadsheets/d/1mC1e-vwr5mrXD1dJgtDrL_SWAU4VomWuHk93nhEr0q0/edit?usp=sharing", "Stu")</x:f>
      </x:c>
    </x:row>
    <x:row r="6" ht="15.75" customHeight="1">
      <x:c r="A6" s="27" t="e">
        <x:f>HYPERLINK("https://docs.google.com/spreadsheets/d/1yS-6slAUilIWNaRfM2ElVWD2gVDBGIPiAwEDotKfTJM/edit?usp=sharing", "Sunny")</x:f>
      </x:c>
    </x:row>
    <x:row r="7" ht="15.75" customHeight="1">
      <x:c r="A7" s="27" t="e">
        <x:f>HYPERLINK("https://docs.google.com/spreadsheets/d/12Z8IhvjwNLfvsGv3rwLlROMBBuUUGdhoIWIPuZtfki4/edit?usp=sharing", "Tang Gang")</x:f>
      </x:c>
    </x:row>
    <x:row r="8" ht="15.75" customHeight="1">
      <x:c r="A8" s="27" t="e">
        <x:f>HYPERLINK("https://docs.google.com/spreadsheets/d/1Fyr2drm4EfCrVKpV1pPV6kGdLqqtnOqt8uPRfjSjeeA/edit?usp=sharing", "The Peggening")</x:f>
      </x:c>
    </x:row>
    <x:row r="9" ht="15.75" customHeight="1">
      <x:c r="A9" s="27" t="e">
        <x:f>HYPERLINK("https://docs.google.com/spreadsheets/d/16oDhaQv7IY1_CXCvmZAWHGNyNiGKB8YJkrrENoKTprM/edit?usp=sharing", "ogwebchef888")</x:f>
      </x:c>
    </x:row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3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42" hidden="0" customWidth="1"/>
    <x:col min="16" max="16" width="42" hidden="0" customWidth="1"/>
  </x:cols>
  <x:sheetData>
    <x:row r="1">
      <x:c r="A1" s="66" t="str">
        <x:v>Token Name</x:v>
      </x:c>
      <x:c r="B1" s="66" t="str">
        <x:v>Token Symbol</x:v>
      </x:c>
      <x:c r="C1" s="66" t="str">
        <x:v>Contract Address</x:v>
      </x:c>
      <x:c r="D1" s="66" t="str">
        <x:v>Initial Supply Snapshot</x:v>
      </x:c>
      <x:c r="E1" s="66" t="str">
        <x:v>Snapshot Current Supply</x:v>
      </x:c>
      <x:c r="F1" s="66" t="str">
        <x:v>Snapshot Price USD</x:v>
      </x:c>
      <x:c r="G1" s="66" t="str">
        <x:v>Snapshot Market Cap</x:v>
      </x:c>
      <x:c r="H1" s="66" t="str">
        <x:v>Snapshot Volume</x:v>
      </x:c>
      <x:c r="I1" s="66" t="str">
        <x:v>Snapshot Liquidity</x:v>
      </x:c>
      <x:c r="J1" s="66" t="str">
        <x:v>Live Total Supply Raw</x:v>
      </x:c>
      <x:c r="K1" s="66" t="str">
        <x:v>Live Decimals</x:v>
      </x:c>
      <x:c r="L1" s="66" t="str">
        <x:v>Registry Count</x:v>
      </x:c>
      <x:c r="M1" s="66" t="str">
        <x:v>Registered Pairs</x:v>
      </x:c>
      <x:c r="N1" s="66" t="str">
        <x:v>Deepest Pair</x:v>
      </x:c>
      <x:c r="O1" s="66" t="str">
        <x:v>Pull Status</x:v>
      </x:c>
      <x:c r="P1" s="66" t="str">
        <x:v>Source</x:v>
      </x:c>
    </x:row>
    <x:row r="2">
      <x:c r="A2" s="60" t="str">
        <x:v>Atropa</x:v>
      </x:c>
      <x:c r="B2" s="60" t="str">
        <x:v>ATROPA</x:v>
      </x:c>
      <x:c r="C2" s="60" t="str">
        <x:v>0xCc78A0acDF847A2C1714D2A925bB4477df5d48a6</x:v>
      </x:c>
      <x:c r="D2" s="67" t="n">
        <x:v>1111111111</x:v>
      </x:c>
      <x:c r="E2" s="67"/>
      <x:c r="F2" s="67"/>
      <x:c r="G2" s="67"/>
      <x:c r="H2" s="67"/>
      <x:c r="I2" s="67"/>
      <x:c r="J2" s="60"/>
      <x:c r="K2" s="60"/>
      <x:c r="L2" s="60"/>
      <x:c r="M2" s="60"/>
      <x:c r="N2" s="60"/>
      <x:c r="O2" s="60" t="str">
        <x:v>Snapshot only — live RPC pull not run in this workbook</x:v>
      </x:c>
      <x:c r="P2" s="60" t="str">
        <x:v>Atropa snapshot 2025-02-27 / atropa-tokens JSON</x:v>
      </x:c>
    </x:row>
    <x:row r="3">
      <x:c r="A3" s="60" t="str">
        <x:v>dOWN</x:v>
      </x:c>
      <x:c r="B3" s="60" t="str">
        <x:v>dOWN</x:v>
      </x:c>
      <x:c r="C3" s="60" t="str">
        <x:v>0x2556F7f8d82EbcdD7b821b0981C38D9dA9439CdD</x:v>
      </x:c>
      <x:c r="D3" s="67" t="n">
        <x:v>1111111111</x:v>
      </x:c>
      <x:c r="E3" s="67"/>
      <x:c r="F3" s="67"/>
      <x:c r="G3" s="67"/>
      <x:c r="H3" s="67"/>
      <x:c r="I3" s="67"/>
      <x:c r="J3" s="60"/>
      <x:c r="K3" s="60"/>
      <x:c r="L3" s="60"/>
      <x:c r="M3" s="60"/>
      <x:c r="N3" s="60"/>
      <x:c r="O3" s="60" t="str">
        <x:v>Snapshot only — live RPC pull not run in this workbook</x:v>
      </x:c>
      <x:c r="P3" s="60" t="str">
        <x:v>Atropa snapshot 2025-02-27 / atropa-tokens JSON</x:v>
      </x:c>
    </x:row>
    <x:row r="4">
      <x:c r="A4" s="60" t="str">
        <x:v>TSFi</x:v>
      </x:c>
      <x:c r="B4" s="60" t="str">
        <x:v>TSFi</x:v>
      </x:c>
      <x:c r="C4" s="60" t="str">
        <x:v>0x4243568Fa2bbad327ee36e06c16824cAd8B37819</x:v>
      </x:c>
      <x:c r="D4" s="67" t="n">
        <x:v>1110313</x:v>
      </x:c>
      <x:c r="E4" s="67"/>
      <x:c r="F4" s="67"/>
      <x:c r="G4" s="67"/>
      <x:c r="H4" s="67"/>
      <x:c r="I4" s="67"/>
      <x:c r="J4" s="60"/>
      <x:c r="K4" s="60"/>
      <x:c r="L4" s="60"/>
      <x:c r="M4" s="60"/>
      <x:c r="N4" s="60"/>
      <x:c r="O4" s="60" t="str">
        <x:v>Snapshot only — live RPC pull not run in this workbook</x:v>
      </x:c>
      <x:c r="P4" s="60" t="str">
        <x:v>Atropa snapshot 2025-02-27 / atropa-tokens JSON</x:v>
      </x:c>
    </x:row>
    <x:row r="5">
      <x:c r="A5" s="60" t="str">
        <x:v>笫第作笈</x:v>
      </x:c>
      <x:c r="B5" s="60" t="str">
        <x:v>第作</x:v>
      </x:c>
      <x:c r="C5" s="60" t="str">
        <x:v>0x347BC40503E0CE23fE0F5587F232Cd2D07D4Eb89</x:v>
      </x:c>
      <x:c r="D5" s="67" t="n">
        <x:v>132</x:v>
      </x:c>
      <x:c r="E5" s="67"/>
      <x:c r="F5" s="67"/>
      <x:c r="G5" s="67"/>
      <x:c r="H5" s="67"/>
      <x:c r="I5" s="67"/>
      <x:c r="J5" s="60"/>
      <x:c r="K5" s="60"/>
      <x:c r="L5" s="60"/>
      <x:c r="M5" s="60"/>
      <x:c r="N5" s="60"/>
      <x:c r="O5" s="60" t="str">
        <x:v>Snapshot only — live RPC pull not run in this workbook</x:v>
      </x:c>
      <x:c r="P5" s="60" t="str">
        <x:v>Atropa snapshot 2025-02-27 / atropa-tokens JSON</x:v>
      </x:c>
    </x:row>
    <x:row r="6">
      <x:c r="A6" s="60" t="str">
        <x:v>籯</x:v>
      </x:c>
      <x:c r="B6" s="60" t="str">
        <x:v>籯</x:v>
      </x:c>
      <x:c r="C6" s="60" t="str">
        <x:v>0x271197EFe41073681577CdbBFD6Ee1DA259BAa3c</x:v>
      </x:c>
      <x:c r="D6" s="67" t="n">
        <x:v>11311112111</x:v>
      </x:c>
      <x:c r="E6" s="67"/>
      <x:c r="F6" s="67"/>
      <x:c r="G6" s="67"/>
      <x:c r="H6" s="67"/>
      <x:c r="I6" s="67"/>
      <x:c r="J6" s="60"/>
      <x:c r="K6" s="60"/>
      <x:c r="L6" s="60"/>
      <x:c r="M6" s="60"/>
      <x:c r="N6" s="60"/>
      <x:c r="O6" s="60" t="str">
        <x:v>Snapshot only — live RPC pull not run in this workbook</x:v>
      </x:c>
      <x:c r="P6" s="60" t="str">
        <x:v>Atropa snapshot 2025-02-27 / atropa-tokens JSON</x:v>
      </x:c>
    </x:row>
    <x:row r="7">
      <x:c r="A7" s="60" t="str">
        <x:v>유</x:v>
      </x:c>
      <x:c r="B7" s="60" t="str">
        <x:v>유</x:v>
      </x:c>
      <x:c r="C7" s="60" t="str">
        <x:v>0x52a4682880E990ebed5309764C7BD29c4aE22deB</x:v>
      </x:c>
      <x:c r="D7" s="67" t="n">
        <x:v>11311112111</x:v>
      </x:c>
      <x:c r="E7" s="67"/>
      <x:c r="F7" s="67"/>
      <x:c r="G7" s="67"/>
      <x:c r="H7" s="67"/>
      <x:c r="I7" s="67"/>
      <x:c r="J7" s="60"/>
      <x:c r="K7" s="60"/>
      <x:c r="L7" s="60"/>
      <x:c r="M7" s="60"/>
      <x:c r="N7" s="60"/>
      <x:c r="O7" s="60" t="str">
        <x:v>Snapshot only — live RPC pull not run in this workbook</x:v>
      </x:c>
      <x:c r="P7" s="60" t="str">
        <x:v>Atropa snapshot 2025-02-27 / atropa-tokens JSON</x:v>
      </x:c>
    </x:row>
    <x:row r="8">
      <x:c r="A8" s="60" t="str">
        <x:v>ލޮލް</x:v>
      </x:c>
      <x:c r="B8" s="60" t="str">
        <x:v>ލ</x:v>
      </x:c>
      <x:c r="C8" s="60" t="str">
        <x:v>0xA63F8061A67ecdbf147Cd1B60f91Cf95464E868D</x:v>
      </x:c>
      <x:c r="D8" s="67" t="n">
        <x:v>31311113119</x:v>
      </x:c>
      <x:c r="E8" s="67"/>
      <x:c r="F8" s="67"/>
      <x:c r="G8" s="67"/>
      <x:c r="H8" s="67"/>
      <x:c r="I8" s="67"/>
      <x:c r="J8" s="60"/>
      <x:c r="K8" s="60"/>
      <x:c r="L8" s="60"/>
      <x:c r="M8" s="60"/>
      <x:c r="N8" s="60"/>
      <x:c r="O8" s="60" t="str">
        <x:v>Snapshot only — live RPC pull not run in this workbook</x:v>
      </x:c>
      <x:c r="P8" s="60" t="str">
        <x:v>Atropa snapshot 2025-02-27 / atropa-tokens JSON</x:v>
      </x:c>
    </x:row>
    <x:row r="9">
      <x:c r="A9" s="60" t="str">
        <x:v>LEGAL</x:v>
      </x:c>
      <x:c r="B9" s="60" t="str">
        <x:v>LEGAL</x:v>
      </x:c>
      <x:c r="C9" s="60" t="str">
        <x:v>0x0b1307dc5D90a0B60Be18D2634843343eBc098AF</x:v>
      </x:c>
      <x:c r="D9" s="67" t="n">
        <x:v>986828.8494763578</x:v>
      </x:c>
      <x:c r="E9" s="67"/>
      <x:c r="F9" s="67"/>
      <x:c r="G9" s="67"/>
      <x:c r="H9" s="67"/>
      <x:c r="I9" s="67"/>
      <x:c r="J9" s="60"/>
      <x:c r="K9" s="60"/>
      <x:c r="L9" s="60"/>
      <x:c r="M9" s="60"/>
      <x:c r="N9" s="60"/>
      <x:c r="O9" s="60" t="str">
        <x:v>Snapshot only — live RPC pull not run in this workbook</x:v>
      </x:c>
      <x:c r="P9" s="60" t="str">
        <x:v>Atropa snapshot 2025-02-27 / atropa-tokens JSON</x:v>
      </x:c>
    </x:row>
    <x:row r="10">
      <x:c r="A10" s="60" t="str">
        <x:v>㉾</x:v>
      </x:c>
      <x:c r="B10" s="60" t="str">
        <x:v>scissors ㉾</x:v>
      </x:c>
      <x:c r="C10" s="60" t="str">
        <x:v>0x1b8F9E19360D1dc94295D984b7Ca7eA9b810D9ee</x:v>
      </x:c>
      <x:c r="D10" s="67" t="n">
        <x:v>360797.02281521645</x:v>
      </x:c>
      <x:c r="E10" s="67"/>
      <x:c r="F10" s="67"/>
      <x:c r="G10" s="67"/>
      <x:c r="H10" s="67"/>
      <x:c r="I10" s="67"/>
      <x:c r="J10" s="60"/>
      <x:c r="K10" s="60"/>
      <x:c r="L10" s="60"/>
      <x:c r="M10" s="60"/>
      <x:c r="N10" s="60"/>
      <x:c r="O10" s="60" t="str">
        <x:v>Snapshot only — live RPC pull not run in this workbook</x:v>
      </x:c>
      <x:c r="P10" s="60" t="str">
        <x:v>Atropa snapshot 2025-02-27 / atropa-tokens JSON</x:v>
      </x:c>
    </x:row>
    <x:row r="11">
      <x:c r="A11" s="60" t="str">
        <x:v>POPPY</x:v>
      </x:c>
      <x:c r="B11" s="60" t="str">
        <x:v>POPPY ㉾</x:v>
      </x:c>
      <x:c r="C11" s="60" t="str">
        <x:v>0xdE65090088Df0b2d80A5eC6A7B56ECE36ee83ce8</x:v>
      </x:c>
      <x:c r="D11" s="67" t="n">
        <x:v>1000000</x:v>
      </x:c>
      <x:c r="E11" s="67"/>
      <x:c r="F11" s="67"/>
      <x:c r="G11" s="67"/>
      <x:c r="H11" s="67"/>
      <x:c r="I11" s="67"/>
      <x:c r="J11" s="60"/>
      <x:c r="K11" s="60"/>
      <x:c r="L11" s="60"/>
      <x:c r="M11" s="60"/>
      <x:c r="N11" s="60"/>
      <x:c r="O11" s="60" t="str">
        <x:v>Snapshot only — live RPC pull not run in this workbook</x:v>
      </x:c>
      <x:c r="P11" s="60" t="str">
        <x:v>Atropa snapshot 2025-02-27 / atropa-tokens JSON</x:v>
      </x:c>
    </x:row>
    <x:row r="12">
      <x:c r="A12" s="60" t="str">
        <x:v>缤</x:v>
      </x:c>
      <x:c r="B12" s="60" t="str">
        <x:v>缤 ㉾</x:v>
      </x:c>
      <x:c r="C12" s="60" t="str">
        <x:v>0xf520404CF4fa5B633626333775b05F5dF94E1a9C</x:v>
      </x:c>
      <x:c r="D12" s="67" t="n">
        <x:v>5000000000</x:v>
      </x:c>
      <x:c r="E12" s="67"/>
      <x:c r="F12" s="67"/>
      <x:c r="G12" s="67"/>
      <x:c r="H12" s="67"/>
      <x:c r="I12" s="67"/>
      <x:c r="J12" s="60"/>
      <x:c r="K12" s="60"/>
      <x:c r="L12" s="60"/>
      <x:c r="M12" s="60"/>
      <x:c r="N12" s="60"/>
      <x:c r="O12" s="60" t="str">
        <x:v>Snapshot only — live RPC pull not run in this workbook</x:v>
      </x:c>
      <x:c r="P12" s="60" t="str">
        <x:v>Atropa snapshot 2025-02-27 / atropa-tokens JSON</x:v>
      </x:c>
    </x:row>
    <x:row r="13">
      <x:c r="A13" s="60" t="str">
        <x:v>BEAR</x:v>
      </x:c>
      <x:c r="B13" s="60" t="str">
        <x:v>TEDDY BEAR ㉾</x:v>
      </x:c>
      <x:c r="C13" s="60" t="str">
        <x:v>0xd6c31bA0754C4383A41c0e9DF042C62b5e918f6d</x:v>
      </x:c>
      <x:c r="D13" s="67" t="n">
        <x:v>999000000000212</x:v>
      </x:c>
      <x:c r="E13" s="67"/>
      <x:c r="F13" s="67"/>
      <x:c r="G13" s="67"/>
      <x:c r="H13" s="67"/>
      <x:c r="I13" s="67"/>
      <x:c r="J13" s="60"/>
      <x:c r="K13" s="60"/>
      <x:c r="L13" s="60"/>
      <x:c r="M13" s="60"/>
      <x:c r="N13" s="60"/>
      <x:c r="O13" s="60" t="str">
        <x:v>Snapshot only — live RPC pull not run in this workbook</x:v>
      </x:c>
      <x:c r="P13" s="60" t="str">
        <x:v>Atropa snapshot 2025-02-27 / atropa-tokens JSON</x:v>
      </x:c>
    </x:row>
    <x:row r="14">
      <x:c r="A14" s="60" t="str">
        <x:v>TREASURY BILL</x:v>
      </x:c>
      <x:c r="B14" s="60" t="str">
        <x:v>TREASURY BILL ㉾</x:v>
      </x:c>
      <x:c r="C14" s="60" t="str">
        <x:v>0x463413c579D29c26D59a65312657DFCe30D545A1</x:v>
      </x:c>
      <x:c r="D14" s="67" t="n">
        <x:v>1111111111</x:v>
      </x:c>
      <x:c r="E14" s="67"/>
      <x:c r="F14" s="67"/>
      <x:c r="G14" s="67"/>
      <x:c r="H14" s="67"/>
      <x:c r="I14" s="67"/>
      <x:c r="J14" s="60"/>
      <x:c r="K14" s="60"/>
      <x:c r="L14" s="60"/>
      <x:c r="M14" s="60"/>
      <x:c r="N14" s="60"/>
      <x:c r="O14" s="60" t="str">
        <x:v>Snapshot only — live RPC pull not run in this workbook</x:v>
      </x:c>
      <x:c r="P14" s="60" t="str">
        <x:v>Atropa snapshot 2025-02-27 / atropa-tokens JSON</x:v>
      </x:c>
    </x:row>
    <x:row r="15">
      <x:c r="A15" s="60" t="str">
        <x:v>㈝</x:v>
      </x:c>
      <x:c r="B15" s="60" t="str">
        <x:v>㈝</x:v>
      </x:c>
      <x:c r="C15" s="60" t="str">
        <x:v>0xFa4d9C6E012d946853386113ACbF166deC5465Bb</x:v>
      </x:c>
      <x:c r="D15" s="67" t="n">
        <x:v>1111111111</x:v>
      </x:c>
      <x:c r="E15" s="67"/>
      <x:c r="F15" s="67"/>
      <x:c r="G15" s="67"/>
      <x:c r="H15" s="67"/>
      <x:c r="I15" s="67"/>
      <x:c r="J15" s="60"/>
      <x:c r="K15" s="60"/>
      <x:c r="L15" s="60"/>
      <x:c r="M15" s="60"/>
      <x:c r="N15" s="60"/>
      <x:c r="O15" s="60" t="str">
        <x:v>Snapshot only — live RPC pull not run in this workbook</x:v>
      </x:c>
      <x:c r="P15" s="60" t="str">
        <x:v>Atropa snapshot 2025-02-27 / atropa-tokens JSON</x:v>
      </x:c>
    </x:row>
    <x:row r="16">
      <x:c r="A16" s="60" t="str">
        <x:v>ʁ</x:v>
      </x:c>
      <x:c r="B16" s="60" t="str">
        <x:v>ʁ ㉭</x:v>
      </x:c>
      <x:c r="C16" s="60" t="str">
        <x:v>0x557F7e30aA6D909Cfe8a229A4CB178ab186EC622</x:v>
      </x:c>
      <x:c r="D16" s="67" t="n">
        <x:v>100</x:v>
      </x:c>
      <x:c r="E16" s="67"/>
      <x:c r="F16" s="67"/>
      <x:c r="G16" s="67"/>
      <x:c r="H16" s="67"/>
      <x:c r="I16" s="67"/>
      <x:c r="J16" s="60"/>
      <x:c r="K16" s="60"/>
      <x:c r="L16" s="60"/>
      <x:c r="M16" s="60"/>
      <x:c r="N16" s="60"/>
      <x:c r="O16" s="60" t="str">
        <x:v>Snapshot only — live RPC pull not run in this workbook</x:v>
      </x:c>
      <x:c r="P16" s="60" t="str">
        <x:v>Atropa snapshot 2025-02-27 / atropa-tokens JSON</x:v>
      </x:c>
    </x:row>
    <x:row r="17">
      <x:c r="A17" s="60" t="str">
        <x:v>㉣</x:v>
      </x:c>
      <x:c r="B17" s="60" t="str">
        <x:v>㉣</x:v>
      </x:c>
      <x:c r="C17" s="60" t="str">
        <x:v>0xDf6A16689A893095C721542e5d3CE55bBcc23aC6</x:v>
      </x:c>
      <x:c r="D17" s="67" t="n">
        <x:v>500000000</x:v>
      </x:c>
      <x:c r="E17" s="67"/>
      <x:c r="F17" s="67"/>
      <x:c r="G17" s="67"/>
      <x:c r="H17" s="67"/>
      <x:c r="I17" s="67"/>
      <x:c r="J17" s="60"/>
      <x:c r="K17" s="60"/>
      <x:c r="L17" s="60"/>
      <x:c r="M17" s="60"/>
      <x:c r="N17" s="60"/>
      <x:c r="O17" s="60" t="str">
        <x:v>Snapshot only — live RPC pull not run in this workbook</x:v>
      </x:c>
      <x:c r="P17" s="60" t="str">
        <x:v>Atropa snapshot 2025-02-27 / atropa-tokens JSON</x:v>
      </x:c>
    </x:row>
    <x:row r="18">
      <x:c r="A18" s="60" t="str">
        <x:v>มิติ</x:v>
      </x:c>
      <x:c r="B18" s="60" t="str">
        <x:v>ไมิติซส์</x:v>
      </x:c>
      <x:c r="C18" s="60" t="str">
        <x:v>0x36d4Ac3DF7Bf8aa3843Ad40C8b3eB67e3d18b4e1</x:v>
      </x:c>
      <x:c r="D18" s="67" t="n">
        <x:v>1111111111</x:v>
      </x:c>
      <x:c r="E18" s="67"/>
      <x:c r="F18" s="67"/>
      <x:c r="G18" s="67"/>
      <x:c r="H18" s="67"/>
      <x:c r="I18" s="67"/>
      <x:c r="J18" s="60"/>
      <x:c r="K18" s="60"/>
      <x:c r="L18" s="60"/>
      <x:c r="M18" s="60"/>
      <x:c r="N18" s="60"/>
      <x:c r="O18" s="60" t="str">
        <x:v>Snapshot only — live RPC pull not run in this workbook</x:v>
      </x:c>
      <x:c r="P18" s="60" t="str">
        <x:v>Atropa snapshot 2025-02-27 / atropa-tokens JSON</x:v>
      </x:c>
    </x:row>
    <x:row r="19">
      <x:c r="A19" s="60" t="str">
        <x:v>Bullion</x:v>
      </x:c>
      <x:c r="B19" s="60" t="str">
        <x:v>BULLION ⑤</x:v>
      </x:c>
      <x:c r="C19" s="60" t="str">
        <x:v>0x77Bed67181CeF592472bcb7F97736c560340E006</x:v>
      </x:c>
      <x:c r="D19" s="67" t="n">
        <x:v>130871058130494940</x:v>
      </x:c>
      <x:c r="E19" s="67"/>
      <x:c r="F19" s="67"/>
      <x:c r="G19" s="67"/>
      <x:c r="H19" s="67"/>
      <x:c r="I19" s="67"/>
      <x:c r="J19" s="60"/>
      <x:c r="K19" s="60"/>
      <x:c r="L19" s="60"/>
      <x:c r="M19" s="60"/>
      <x:c r="N19" s="60"/>
      <x:c r="O19" s="60" t="str">
        <x:v>Snapshot only — live RPC pull not run in this workbook</x:v>
      </x:c>
      <x:c r="P19" s="60" t="str">
        <x:v>Atropa snapshot 2025-02-27 / atropa-tokens JSON</x:v>
      </x:c>
    </x:row>
    <x:row r="20">
      <x:c r="A20" s="60" t="str">
        <x:v>পঁদাে়নুিং</x:v>
      </x:c>
      <x:c r="B20" s="60" t="str">
        <x:v>পঁদাে়নুিং</x:v>
      </x:c>
      <x:c r="C20" s="60" t="str">
        <x:v>0xf69e9f943674027Cedf05564A8D5A01041d07c62</x:v>
      </x:c>
      <x:c r="D20" s="67" t="n">
        <x:v>1203456789</x:v>
      </x:c>
      <x:c r="E20" s="67"/>
      <x:c r="F20" s="67"/>
      <x:c r="G20" s="67"/>
      <x:c r="H20" s="67"/>
      <x:c r="I20" s="67"/>
      <x:c r="J20" s="60"/>
      <x:c r="K20" s="60"/>
      <x:c r="L20" s="60"/>
      <x:c r="M20" s="60"/>
      <x:c r="N20" s="60"/>
      <x:c r="O20" s="60" t="str">
        <x:v>Snapshot only — live RPC pull not run in this workbook</x:v>
      </x:c>
      <x:c r="P20" s="60" t="str">
        <x:v>Atropa snapshot 2025-02-27 / atropa-tokens JSON</x:v>
      </x:c>
    </x:row>
    <x:row r="21">
      <x:c r="A21" s="60" t="str">
        <x:v>ᨓᨆ</x:v>
      </x:c>
      <x:c r="B21" s="60" t="str">
        <x:v>ᨓᨆ</x:v>
      </x:c>
      <x:c r="C21" s="60" t="str">
        <x:v>0xA1BEe1daE9Af77dAC73aA0459eD63b4D93fC6d29</x:v>
      </x:c>
      <x:c r="D21" s="67" t="n">
        <x:v>0</x:v>
      </x:c>
      <x:c r="E21" s="67"/>
      <x:c r="F21" s="67"/>
      <x:c r="G21" s="67"/>
      <x:c r="H21" s="67"/>
      <x:c r="I21" s="67"/>
      <x:c r="J21" s="60"/>
      <x:c r="K21" s="60"/>
      <x:c r="L21" s="60"/>
      <x:c r="M21" s="60"/>
      <x:c r="N21" s="60"/>
      <x:c r="O21" s="60" t="str">
        <x:v>Snapshot only — live RPC pull not run in this workbook</x:v>
      </x:c>
      <x:c r="P21" s="60" t="str">
        <x:v>Atropa snapshot 2025-02-27 / atropa-tokens JSON</x:v>
      </x:c>
    </x:row>
    <x:row r="22">
      <x:c r="A22" s="60" t="str">
        <x:v>⑧</x:v>
      </x:c>
      <x:c r="B22" s="60" t="str">
        <x:v>BULLION ⑧</x:v>
      </x:c>
      <x:c r="C22" s="60" t="str">
        <x:v>0x4144f4bfB114e257333EFf57271E8F1106631ff4</x:v>
      </x:c>
      <x:c r="D22" s="67" t="n">
        <x:v>0</x:v>
      </x:c>
      <x:c r="E22" s="67"/>
      <x:c r="F22" s="67"/>
      <x:c r="G22" s="67"/>
      <x:c r="H22" s="67"/>
      <x:c r="I22" s="67"/>
      <x:c r="J22" s="60"/>
      <x:c r="K22" s="60"/>
      <x:c r="L22" s="60"/>
      <x:c r="M22" s="60"/>
      <x:c r="N22" s="60"/>
      <x:c r="O22" s="60" t="str">
        <x:v>Snapshot only — live RPC pull not run in this workbook</x:v>
      </x:c>
      <x:c r="P22" s="60" t="str">
        <x:v>Atropa snapshot 2025-02-27 / atropa-tokens JSON</x:v>
      </x:c>
    </x:row>
    <x:row r="23">
      <x:c r="A23" s="60" t="str">
        <x:v>⑧</x:v>
      </x:c>
      <x:c r="B23" s="60" t="str">
        <x:v>BULLION ⑧</x:v>
      </x:c>
      <x:c r="C23" s="60" t="str">
        <x:v>0x2959221675bdF0e59D0cC3dE834a998FA5fFb9F4</x:v>
      </x:c>
      <x:c r="D23" s="67" t="n">
        <x:v>0</x:v>
      </x:c>
      <x:c r="E23" s="67"/>
      <x:c r="F23" s="67"/>
      <x:c r="G23" s="67"/>
      <x:c r="H23" s="67"/>
      <x:c r="I23" s="67"/>
      <x:c r="J23" s="60"/>
      <x:c r="K23" s="60"/>
      <x:c r="L23" s="60"/>
      <x:c r="M23" s="60"/>
      <x:c r="N23" s="60"/>
      <x:c r="O23" s="60" t="str">
        <x:v>Snapshot only — live RPC pull not run in this workbook</x:v>
      </x:c>
      <x:c r="P23" s="60" t="str">
        <x:v>Atropa snapshot 2025-02-27 / atropa-tokens JSON</x:v>
      </x:c>
    </x:row>
    <x:row r="24">
      <x:c r="A24" s="60" t="str">
        <x:v>⑨</x:v>
      </x:c>
      <x:c r="B24" s="60" t="str">
        <x:v>テディベア</x:v>
      </x:c>
      <x:c r="C24" s="60" t="str">
        <x:v>0xd63bE074cA7D8Dba78b8BBfF7875582DB0F28233</x:v>
      </x:c>
      <x:c r="D24" s="67" t="n">
        <x:v>0</x:v>
      </x:c>
      <x:c r="E24" s="67"/>
      <x:c r="F24" s="67"/>
      <x:c r="G24" s="67"/>
      <x:c r="H24" s="67"/>
      <x:c r="I24" s="67"/>
      <x:c r="J24" s="60"/>
      <x:c r="K24" s="60"/>
      <x:c r="L24" s="60"/>
      <x:c r="M24" s="60"/>
      <x:c r="N24" s="60"/>
      <x:c r="O24" s="60" t="str">
        <x:v>Snapshot only — live RPC pull not run in this workbook</x:v>
      </x:c>
      <x:c r="P24" s="60" t="str">
        <x:v>Atropa snapshot 2025-02-27 / atropa-tokens JSON</x:v>
      </x:c>
    </x:row>
    <x:row r="25">
      <x:c r="A25" s="60" t="str">
        <x:v>⑨</x:v>
      </x:c>
      <x:c r="B25" s="60" t="str">
        <x:v>テディベア</x:v>
      </x:c>
      <x:c r="C25" s="60" t="str">
        <x:v>0x1f737F7994811fE994Fe72957C374e5cD5D5418A</x:v>
      </x:c>
      <x:c r="D25" s="67" t="n">
        <x:v>0</x:v>
      </x:c>
      <x:c r="E25" s="67"/>
      <x:c r="F25" s="67"/>
      <x:c r="G25" s="67"/>
      <x:c r="H25" s="67"/>
      <x:c r="I25" s="67"/>
      <x:c r="J25" s="60"/>
      <x:c r="K25" s="60"/>
      <x:c r="L25" s="60"/>
      <x:c r="M25" s="60"/>
      <x:c r="N25" s="60"/>
      <x:c r="O25" s="60" t="str">
        <x:v>Snapshot only — live RPC pull not run in this workbook</x:v>
      </x:c>
      <x:c r="P25" s="60" t="str">
        <x:v>Atropa snapshot 2025-02-27 / atropa-tokens JSON</x:v>
      </x:c>
    </x:row>
    <x:row r="26">
      <x:c r="A26" s="60" t="str">
        <x:v>⑦</x:v>
      </x:c>
      <x:c r="B26" s="60" t="str">
        <x:v>First Pulse Mutual Bond</x:v>
      </x:c>
      <x:c r="C26" s="60" t="str">
        <x:v>0x25d53961a27791B9D8b2d74FB3e937c8EAEadc38</x:v>
      </x:c>
      <x:c r="D26" s="67" t="n">
        <x:v>0</x:v>
      </x:c>
      <x:c r="E26" s="67"/>
      <x:c r="F26" s="67"/>
      <x:c r="G26" s="67"/>
      <x:c r="H26" s="67"/>
      <x:c r="I26" s="67"/>
      <x:c r="J26" s="60"/>
      <x:c r="K26" s="60"/>
      <x:c r="L26" s="60"/>
      <x:c r="M26" s="60"/>
      <x:c r="N26" s="60"/>
      <x:c r="O26" s="60" t="str">
        <x:v>Snapshot only — live RPC pull not run in this workbook</x:v>
      </x:c>
      <x:c r="P26" s="60" t="str">
        <x:v>Atropa snapshot 2025-02-27 / atropa-tokens JSON</x:v>
      </x:c>
    </x:row>
    <x:row r="27">
      <x:c r="A27" s="60" t="str">
        <x:v>ހް</x:v>
      </x:c>
      <x:c r="B27" s="60" t="str">
        <x:v>ޖޮޔިސްދޭވޯހީ</x:v>
      </x:c>
      <x:c r="C27" s="60" t="str">
        <x:v>0x26D5906c4Cdf8C9F09CBd94049f99deaa874fB0b</x:v>
      </x:c>
      <x:c r="D27" s="67" t="n">
        <x:v>0</x:v>
      </x:c>
      <x:c r="E27" s="67"/>
      <x:c r="F27" s="67"/>
      <x:c r="G27" s="67"/>
      <x:c r="H27" s="67"/>
      <x:c r="I27" s="67"/>
      <x:c r="J27" s="60"/>
      <x:c r="K27" s="60"/>
      <x:c r="L27" s="60"/>
      <x:c r="M27" s="60"/>
      <x:c r="N27" s="60"/>
      <x:c r="O27" s="60" t="str">
        <x:v>Snapshot only — live RPC pull not run in this workbook</x:v>
      </x:c>
      <x:c r="P27" s="60" t="str">
        <x:v>Atropa snapshot 2025-02-27 / atropa-tokens JSON</x:v>
      </x:c>
    </x:row>
    <x:row r="28">
      <x:c r="A28" s="60" t="str">
        <x:v>𐌎</x:v>
      </x:c>
      <x:c r="B28" s="60" t="str">
        <x:v>𐌎𐌠𐌐𐌀</x:v>
      </x:c>
      <x:c r="C28" s="60" t="str">
        <x:v>0xD4FD96BA83d3E6FF1A0Baa44c32Def94e641D97c</x:v>
      </x:c>
      <x:c r="D28" s="67" t="n">
        <x:v>0</x:v>
      </x:c>
      <x:c r="E28" s="67"/>
      <x:c r="F28" s="67"/>
      <x:c r="G28" s="67"/>
      <x:c r="H28" s="67"/>
      <x:c r="I28" s="67"/>
      <x:c r="J28" s="60"/>
      <x:c r="K28" s="60"/>
      <x:c r="L28" s="60"/>
      <x:c r="M28" s="60"/>
      <x:c r="N28" s="60"/>
      <x:c r="O28" s="60" t="str">
        <x:v>Snapshot only — live RPC pull not run in this workbook</x:v>
      </x:c>
      <x:c r="P28" s="60" t="str">
        <x:v>Atropa snapshot 2025-02-27 / atropa-tokens JSON</x:v>
      </x:c>
    </x:row>
    <x:row r="29">
      <x:c r="A29" s="60" t="str">
        <x:v>اللا</x:v>
      </x:c>
      <x:c r="B29" s="60" t="str">
        <x:v>الامارات</x:v>
      </x:c>
      <x:c r="C29" s="60" t="str">
        <x:v>0x3Cca11B99e3338F57B0FCB0d203D747AeAE01CE5</x:v>
      </x:c>
      <x:c r="D29" s="67" t="n">
        <x:v>0</x:v>
      </x:c>
      <x:c r="E29" s="67"/>
      <x:c r="F29" s="67"/>
      <x:c r="G29" s="67"/>
      <x:c r="H29" s="67"/>
      <x:c r="I29" s="67"/>
      <x:c r="J29" s="60"/>
      <x:c r="K29" s="60"/>
      <x:c r="L29" s="60"/>
      <x:c r="M29" s="60"/>
      <x:c r="N29" s="60"/>
      <x:c r="O29" s="60" t="str">
        <x:v>Snapshot only — live RPC pull not run in this workbook</x:v>
      </x:c>
      <x:c r="P29" s="60" t="str">
        <x:v>Atropa snapshot 2025-02-27 / atropa-tokens JSON</x:v>
      </x:c>
    </x:row>
    <x:row r="30">
      <x:c r="A30" s="60" t="str">
        <x:v>اللا</x:v>
      </x:c>
      <x:c r="B30" s="60" t="str">
        <x:v>الامارات</x:v>
      </x:c>
      <x:c r="C30" s="60" t="str">
        <x:v>0x1942Ba1EA7c21a070D70C4eFe64B21694283F23e</x:v>
      </x:c>
      <x:c r="D30" s="67" t="n">
        <x:v>1111111111</x:v>
      </x:c>
      <x:c r="E30" s="67"/>
      <x:c r="F30" s="67"/>
      <x:c r="G30" s="67"/>
      <x:c r="H30" s="67"/>
      <x:c r="I30" s="67"/>
      <x:c r="J30" s="60"/>
      <x:c r="K30" s="60"/>
      <x:c r="L30" s="60"/>
      <x:c r="M30" s="60"/>
      <x:c r="N30" s="60"/>
      <x:c r="O30" s="60" t="str">
        <x:v>Snapshot only — live RPC pull not run in this workbook</x:v>
      </x:c>
      <x:c r="P30" s="60" t="str">
        <x:v>Atropa snapshot 2025-02-27 / atropa-tokens JSON</x:v>
      </x:c>
    </x:row>
    <x:row r="31">
      <x:c r="A31" s="60" t="str">
        <x:v>ࠐࠀ</x:v>
      </x:c>
      <x:c r="B31" s="60" t="str">
        <x:v>࠘ࠓࠩࠐࠬࠀࠫࠋࠠ</x:v>
      </x:c>
      <x:c r="C31" s="60" t="str">
        <x:v>0xF2be09EB43c1eD2791d0324BaA0649e62CdA4BBF</x:v>
      </x:c>
      <x:c r="D31" s="67" t="n">
        <x:v>1</x:v>
      </x:c>
      <x:c r="E31" s="67"/>
      <x:c r="F31" s="67"/>
      <x:c r="G31" s="67"/>
      <x:c r="H31" s="67"/>
      <x:c r="I31" s="67"/>
      <x:c r="J31" s="60"/>
      <x:c r="K31" s="60"/>
      <x:c r="L31" s="60"/>
      <x:c r="M31" s="60"/>
      <x:c r="N31" s="60"/>
      <x:c r="O31" s="60" t="str">
        <x:v>Snapshot only — live RPC pull not run in this workbook</x:v>
      </x:c>
      <x:c r="P31" s="60" t="str">
        <x:v>Atropa snapshot 2025-02-27 / atropa-tokens JSON</x:v>
      </x:c>
    </x:row>
    <x:row r="32">
      <x:c r="A32" s="60" t="str">
        <x:v>ꡰ</x:v>
      </x:c>
      <x:c r="B32" s="60" t="str">
        <x:v>꡵ꡘꡋꡭꡰꡆꡳ꡴ꡫ</x:v>
      </x:c>
      <x:c r="C32" s="60" t="str">
        <x:v>0xa28e8aA4d6257157de64a547c90B38C3c540eF72</x:v>
      </x:c>
      <x:c r="D32" s="67" t="n">
        <x:v>100</x:v>
      </x:c>
      <x:c r="E32" s="67"/>
      <x:c r="F32" s="67"/>
      <x:c r="G32" s="67"/>
      <x:c r="H32" s="67"/>
      <x:c r="I32" s="67"/>
      <x:c r="J32" s="60"/>
      <x:c r="K32" s="60"/>
      <x:c r="L32" s="60"/>
      <x:c r="M32" s="60"/>
      <x:c r="N32" s="60"/>
      <x:c r="O32" s="60" t="str">
        <x:v>Snapshot only — live RPC pull not run in this workbook</x:v>
      </x:c>
      <x:c r="P32" s="60" t="str">
        <x:v>Atropa snapshot 2025-02-27 / atropa-tokens JSON</x:v>
      </x:c>
    </x:row>
    <x:row r="33">
      <x:c r="A33" s="60" t="str">
        <x:v>ⱑ</x:v>
      </x:c>
      <x:c r="B33" s="60" t="str">
        <x:v>ⱏⱟⰿⰺⰹⱓⱒ</x:v>
      </x:c>
      <x:c r="C33" s="60" t="str">
        <x:v>0x174A0ad99c60c20D9B3D94c3095BC1fb9ddEFd62</x:v>
      </x:c>
      <x:c r="D33" s="67" t="n">
        <x:v>666</x:v>
      </x:c>
      <x:c r="E33" s="67"/>
      <x:c r="F33" s="67"/>
      <x:c r="G33" s="67"/>
      <x:c r="H33" s="67"/>
      <x:c r="I33" s="67"/>
      <x:c r="J33" s="60"/>
      <x:c r="K33" s="60"/>
      <x:c r="L33" s="60"/>
      <x:c r="M33" s="60"/>
      <x:c r="N33" s="60"/>
      <x:c r="O33" s="60" t="str">
        <x:v>Snapshot only — live RPC pull not run in this workbook</x:v>
      </x:c>
      <x:c r="P33" s="60" t="str">
        <x:v>Atropa snapshot 2025-02-27 / atropa-tokens JSON</x:v>
      </x:c>
    </x:row>
    <x:row r="34">
      <x:c r="A34" s="60" t="str">
        <x:v>清导</x:v>
      </x:c>
      <x:c r="B34" s="60" t="str">
        <x:v>清导</x:v>
      </x:c>
      <x:c r="C34" s="60" t="str">
        <x:v>0xE63191967735C52f5de78CE2471759a9963Ce118</x:v>
      </x:c>
      <x:c r="D34" s="67" t="n">
        <x:v>1111111111</x:v>
      </x:c>
      <x:c r="E34" s="67"/>
      <x:c r="F34" s="67"/>
      <x:c r="G34" s="67"/>
      <x:c r="H34" s="67"/>
      <x:c r="I34" s="67"/>
      <x:c r="J34" s="60"/>
      <x:c r="K34" s="60"/>
      <x:c r="L34" s="60"/>
      <x:c r="M34" s="60"/>
      <x:c r="N34" s="60"/>
      <x:c r="O34" s="60" t="str">
        <x:v>Snapshot only — live RPC pull not run in this workbook</x:v>
      </x:c>
      <x:c r="P34" s="60" t="str">
        <x:v>Atropa snapshot 2025-02-27 / atropa-tokens JSON</x:v>
      </x:c>
    </x:row>
    <x:row r="35">
      <x:c r="A35" s="60" t="str">
        <x:v>问题</x:v>
      </x:c>
      <x:c r="B35" s="60" t="str">
        <x:v>问题</x:v>
      </x:c>
      <x:c r="C35" s="60" t="str">
        <x:v>0xA537d6F4c1c8F8C41f1004cc34C00e7Db40179Cc</x:v>
      </x:c>
      <x:c r="D35" s="67" t="n">
        <x:v>0</x:v>
      </x:c>
      <x:c r="E35" s="67"/>
      <x:c r="F35" s="67"/>
      <x:c r="G35" s="67"/>
      <x:c r="H35" s="67"/>
      <x:c r="I35" s="67"/>
      <x:c r="J35" s="60"/>
      <x:c r="K35" s="60"/>
      <x:c r="L35" s="60"/>
      <x:c r="M35" s="60"/>
      <x:c r="N35" s="60"/>
      <x:c r="O35" s="60" t="str">
        <x:v>Snapshot only — live RPC pull not run in this workbook</x:v>
      </x:c>
      <x:c r="P35" s="60" t="str">
        <x:v>Atropa snapshot 2025-02-27 / atropa-tokens JSON</x:v>
      </x:c>
    </x:row>
    <x:row r="36">
      <x:c r="A36" s="60" t="str">
        <x:v>Tristar and Red Sector Incorporated</x:v>
      </x:c>
      <x:c r="B36" s="60" t="str">
        <x:v>TRSI</x:v>
      </x:c>
      <x:c r="C36" s="60" t="str">
        <x:v>0x51A7aaBcCa69B3c0F82b3b9ce5104FDe3efAecE6</x:v>
      </x:c>
      <x:c r="D36" s="67" t="n">
        <x:v>1</x:v>
      </x:c>
      <x:c r="E36" s="67"/>
      <x:c r="F36" s="67"/>
      <x:c r="G36" s="67"/>
      <x:c r="H36" s="67"/>
      <x:c r="I36" s="67"/>
      <x:c r="J36" s="60"/>
      <x:c r="K36" s="60"/>
      <x:c r="L36" s="60"/>
      <x:c r="M36" s="60"/>
      <x:c r="N36" s="60"/>
      <x:c r="O36" s="60" t="str">
        <x:v>Snapshot only — live RPC pull not run in this workbook</x:v>
      </x:c>
      <x:c r="P36" s="60" t="str">
        <x:v>Atropa snapshot 2025-02-27 / atropa-tokens JSON</x:v>
      </x:c>
    </x:row>
    <x:row r="37">
      <x:c r="A37" s="60" t="str">
        <x:v>Annabelle: The Profit ㉶</x:v>
      </x:c>
      <x:c r="B37" s="60" t="str">
        <x:v>BEL ㉶</x:v>
      </x:c>
      <x:c r="C37" s="60" t="str">
        <x:v>0x4C1518286E1b8D5669Fe965EF174B8B4Ae2f017B</x:v>
      </x:c>
      <x:c r="D37" s="67" t="n">
        <x:v>111111</x:v>
      </x:c>
      <x:c r="E37" s="67"/>
      <x:c r="F37" s="67"/>
      <x:c r="G37" s="67"/>
      <x:c r="H37" s="67"/>
      <x:c r="I37" s="67"/>
      <x:c r="J37" s="60"/>
      <x:c r="K37" s="60"/>
      <x:c r="L37" s="60"/>
      <x:c r="M37" s="60"/>
      <x:c r="N37" s="60"/>
      <x:c r="O37" s="60" t="str">
        <x:v>Snapshot only — live RPC pull not run in this workbook</x:v>
      </x:c>
      <x:c r="P37" s="60" t="str">
        <x:v>Atropa snapshot 2025-02-27 / atropa-tokens JSON</x:v>
      </x:c>
    </x:row>
    <x:row r="38">
      <x:c r="A38" s="60" t="str">
        <x:v>RTV KLAN</x:v>
      </x:c>
      <x:c r="B38" s="60" t="str">
        <x:v>KLAN</x:v>
      </x:c>
      <x:c r="C38" s="60" t="str">
        <x:v>0xBDA4a610ED06e6C1E66b12271034ec4665b27615</x:v>
      </x:c>
      <x:c r="D38" s="67" t="n">
        <x:v>0</x:v>
      </x:c>
      <x:c r="E38" s="67"/>
      <x:c r="F38" s="67"/>
      <x:c r="G38" s="67"/>
      <x:c r="H38" s="67"/>
      <x:c r="I38" s="67"/>
      <x:c r="J38" s="60"/>
      <x:c r="K38" s="60"/>
      <x:c r="L38" s="60"/>
      <x:c r="M38" s="60"/>
      <x:c r="N38" s="60"/>
      <x:c r="O38" s="60" t="str">
        <x:v>Snapshot only — live RPC pull not run in this workbook</x:v>
      </x:c>
      <x:c r="P38" s="60" t="str">
        <x:v>Atropa snapshot 2025-02-27 / atropa-tokens JSON</x:v>
      </x:c>
    </x:row>
    <x:row r="39">
      <x:c r="A39" s="60" t="str">
        <x:v>RTV KLAN</x:v>
      </x:c>
      <x:c r="B39" s="60" t="str">
        <x:v>KLAN</x:v>
      </x:c>
      <x:c r="C39" s="60" t="str">
        <x:v>0xC196247AA267Db0DF216d5385bCD23e5cf25EA6A</x:v>
      </x:c>
      <x:c r="D39" s="67" t="n">
        <x:v>0</x:v>
      </x:c>
      <x:c r="E39" s="67"/>
      <x:c r="F39" s="67"/>
      <x:c r="G39" s="67"/>
      <x:c r="H39" s="67"/>
      <x:c r="I39" s="67"/>
      <x:c r="J39" s="60"/>
      <x:c r="K39" s="60"/>
      <x:c r="L39" s="60"/>
      <x:c r="M39" s="60"/>
      <x:c r="N39" s="60"/>
      <x:c r="O39" s="60" t="str">
        <x:v>Snapshot only — live RPC pull not run in this workbook</x:v>
      </x:c>
      <x:c r="P39" s="60" t="str">
        <x:v>Atropa snapshot 2025-02-27 / atropa-tokens JSON</x:v>
      </x:c>
    </x:row>
    <x:row r="40">
      <x:c r="A40" s="60" t="str">
        <x:v>上海广播电视台</x:v>
      </x:c>
      <x:c r="B40" s="60" t="str">
        <x:v>SMG ㉣</x:v>
      </x:c>
      <x:c r="C40" s="60" t="str">
        <x:v>0xa8e8412d9B4341239269cBA38ad949fE4870be34</x:v>
      </x:c>
      <x:c r="D40" s="67" t="n">
        <x:v>0</x:v>
      </x:c>
      <x:c r="E40" s="67"/>
      <x:c r="F40" s="67"/>
      <x:c r="G40" s="67"/>
      <x:c r="H40" s="67"/>
      <x:c r="I40" s="67"/>
      <x:c r="J40" s="60"/>
      <x:c r="K40" s="60"/>
      <x:c r="L40" s="60"/>
      <x:c r="M40" s="60"/>
      <x:c r="N40" s="60"/>
      <x:c r="O40" s="60" t="str">
        <x:v>Snapshot only — live RPC pull not run in this workbook</x:v>
      </x:c>
      <x:c r="P40" s="60" t="str">
        <x:v>Atropa snapshot 2025-02-27 / atropa-tokens JSON</x:v>
      </x:c>
    </x:row>
    <x:row r="41">
      <x:c r="A41" s="60" t="str">
        <x:v>iCE ㉾</x:v>
      </x:c>
      <x:c r="B41" s="60" t="str">
        <x:v>iCE Advertisements ㉾</x:v>
      </x:c>
      <x:c r="C41" s="60" t="str">
        <x:v>0x2fA079d2dAA29Ec8925484F9E9021e9191fE4aE4</x:v>
      </x:c>
      <x:c r="D41" s="67" t="n">
        <x:v>0</x:v>
      </x:c>
      <x:c r="E41" s="67"/>
      <x:c r="F41" s="67"/>
      <x:c r="G41" s="67"/>
      <x:c r="H41" s="67"/>
      <x:c r="I41" s="67"/>
      <x:c r="J41" s="60"/>
      <x:c r="K41" s="60"/>
      <x:c r="L41" s="60"/>
      <x:c r="M41" s="60"/>
      <x:c r="N41" s="60"/>
      <x:c r="O41" s="60" t="str">
        <x:v>Snapshot only — live RPC pull not run in this workbook</x:v>
      </x:c>
      <x:c r="P41" s="60" t="str">
        <x:v>Atropa snapshot 2025-02-27 / atropa-tokens JSON</x:v>
      </x:c>
    </x:row>
    <x:row r="42">
      <x:c r="A42" s="60" t="str">
        <x:v>PWA ㉾</x:v>
      </x:c>
      <x:c r="B42" s="60" t="str">
        <x:v>Pirates With Attitude ㉾</x:v>
      </x:c>
      <x:c r="C42" s="60" t="str">
        <x:v>0x5d4cb28eA61125a1fD3c927162C6F1969DD26788</x:v>
      </x:c>
      <x:c r="D42" s="67" t="n">
        <x:v>0</x:v>
      </x:c>
      <x:c r="E42" s="67"/>
      <x:c r="F42" s="67"/>
      <x:c r="G42" s="67"/>
      <x:c r="H42" s="67"/>
      <x:c r="I42" s="67"/>
      <x:c r="J42" s="60"/>
      <x:c r="K42" s="60"/>
      <x:c r="L42" s="60"/>
      <x:c r="M42" s="60"/>
      <x:c r="N42" s="60"/>
      <x:c r="O42" s="60" t="str">
        <x:v>Snapshot only — live RPC pull not run in this workbook</x:v>
      </x:c>
      <x:c r="P42" s="60" t="str">
        <x:v>Atropa snapshot 2025-02-27 / atropa-tokens JSON</x:v>
      </x:c>
    </x:row>
    <x:row r="43">
      <x:c r="A43" s="60" t="str">
        <x:v>LIT ㉾</x:v>
      </x:c>
      <x:c r="B43" s="60" t="str">
        <x:v>ScrollZ ㉾</x:v>
      </x:c>
      <x:c r="C43" s="60" t="str">
        <x:v>0xf5E3Cc8d22B10d967bE49FE103e496F449C8604E</x:v>
      </x:c>
      <x:c r="D43" s="67" t="n">
        <x:v>0</x:v>
      </x:c>
      <x:c r="E43" s="67"/>
      <x:c r="F43" s="67"/>
      <x:c r="G43" s="67"/>
      <x:c r="H43" s="67"/>
      <x:c r="I43" s="67"/>
      <x:c r="J43" s="60"/>
      <x:c r="K43" s="60"/>
      <x:c r="L43" s="60"/>
      <x:c r="M43" s="60"/>
      <x:c r="N43" s="60"/>
      <x:c r="O43" s="60" t="str">
        <x:v>Snapshot only — live RPC pull not run in this workbook</x:v>
      </x:c>
      <x:c r="P43" s="60" t="str">
        <x:v>Atropa snapshot 2025-02-27 / atropa-tokens JSON</x:v>
      </x:c>
    </x:row>
    <x:row r="44">
      <x:c r="A44" s="60" t="str">
        <x:v>RazoR 1911 ㉾</x:v>
      </x:c>
      <x:c r="B44" s="60" t="str">
        <x:v>RZR ㉾</x:v>
      </x:c>
      <x:c r="C44" s="60" t="str">
        <x:v>0x50e40e8555AaB6b9c6CFF691E14070b6F38142Cb</x:v>
      </x:c>
      <x:c r="D44" s="67" t="n">
        <x:v>0</x:v>
      </x:c>
      <x:c r="E44" s="67"/>
      <x:c r="F44" s="67"/>
      <x:c r="G44" s="67"/>
      <x:c r="H44" s="67"/>
      <x:c r="I44" s="67"/>
      <x:c r="J44" s="60"/>
      <x:c r="K44" s="60"/>
      <x:c r="L44" s="60"/>
      <x:c r="M44" s="60"/>
      <x:c r="N44" s="60"/>
      <x:c r="O44" s="60" t="str">
        <x:v>Snapshot only — live RPC pull not run in this workbook</x:v>
      </x:c>
      <x:c r="P44" s="60" t="str">
        <x:v>Atropa snapshot 2025-02-27 / atropa-tokens JSON</x:v>
      </x:c>
    </x:row>
    <x:row r="45">
      <x:c r="A45" s="60" t="str">
        <x:v>FairLight ㉾</x:v>
      </x:c>
      <x:c r="B45" s="60" t="str">
        <x:v>FLT ㉾</x:v>
      </x:c>
      <x:c r="C45" s="60" t="str">
        <x:v>0x86F0985Cd6Ab3196ea8DceBa87B92a2e22124633</x:v>
      </x:c>
      <x:c r="D45" s="67" t="n">
        <x:v>0</x:v>
      </x:c>
      <x:c r="E45" s="67"/>
      <x:c r="F45" s="67"/>
      <x:c r="G45" s="67"/>
      <x:c r="H45" s="67"/>
      <x:c r="I45" s="67"/>
      <x:c r="J45" s="60"/>
      <x:c r="K45" s="60"/>
      <x:c r="L45" s="60"/>
      <x:c r="M45" s="60"/>
      <x:c r="N45" s="60"/>
      <x:c r="O45" s="60" t="str">
        <x:v>Snapshot only — live RPC pull not run in this workbook</x:v>
      </x:c>
      <x:c r="P45" s="60" t="str">
        <x:v>Atropa snapshot 2025-02-27 / atropa-tokens JSON</x:v>
      </x:c>
    </x:row>
    <x:row r="46">
      <x:c r="A46" s="60" t="str">
        <x:v>Gokuldham Society 卍</x:v>
      </x:c>
      <x:c r="B46" s="60" t="str">
        <x:v>卍</x:v>
      </x:c>
      <x:c r="C46" s="60" t="str">
        <x:v>0x920401FDce49Fc70A2D4cD70DB0dD90212a97f98</x:v>
      </x:c>
      <x:c r="D46" s="67" t="n">
        <x:v>0</x:v>
      </x:c>
      <x:c r="E46" s="67"/>
      <x:c r="F46" s="67"/>
      <x:c r="G46" s="67"/>
      <x:c r="H46" s="67"/>
      <x:c r="I46" s="67"/>
      <x:c r="J46" s="60"/>
      <x:c r="K46" s="60"/>
      <x:c r="L46" s="60"/>
      <x:c r="M46" s="60"/>
      <x:c r="N46" s="60"/>
      <x:c r="O46" s="60" t="str">
        <x:v>Snapshot only — live RPC pull not run in this workbook</x:v>
      </x:c>
      <x:c r="P46" s="60" t="str">
        <x:v>Atropa snapshot 2025-02-27 / atropa-tokens JSON</x:v>
      </x:c>
    </x:row>
    <x:row r="47">
      <x:c r="A47" s="60" t="str">
        <x:v>ﾺ㉾</x:v>
      </x:c>
      <x:c r="B47" s="60" t="str">
        <x:v>KPOP</x:v>
      </x:c>
      <x:c r="C47" s="60" t="str">
        <x:v>0x982B52a54916B899c60031772cc85b041613510E</x:v>
      </x:c>
      <x:c r="D47" s="67" t="n">
        <x:v>0</x:v>
      </x:c>
      <x:c r="E47" s="67"/>
      <x:c r="F47" s="67"/>
      <x:c r="G47" s="67"/>
      <x:c r="H47" s="67"/>
      <x:c r="I47" s="67"/>
      <x:c r="J47" s="60"/>
      <x:c r="K47" s="60"/>
      <x:c r="L47" s="60"/>
      <x:c r="M47" s="60"/>
      <x:c r="N47" s="60"/>
      <x:c r="O47" s="60" t="str">
        <x:v>Snapshot only — live RPC pull not run in this workbook</x:v>
      </x:c>
      <x:c r="P47" s="60" t="str">
        <x:v>Atropa snapshot 2025-02-27 / atropa-tokens JSON</x:v>
      </x:c>
    </x:row>
    <x:row r="48">
      <x:c r="A48" s="60" t="str">
        <x:v>CiA ㉾</x:v>
      </x:c>
      <x:c r="B48" s="60" t="str">
        <x:v>CiA ㉾</x:v>
      </x:c>
      <x:c r="C48" s="60" t="str">
        <x:v>0x2e5898b2e107a3cAf4f0597aCFE5D2e6d73F2196</x:v>
      </x:c>
      <x:c r="D48" s="67" t="n">
        <x:v>0</x:v>
      </x:c>
      <x:c r="E48" s="67"/>
      <x:c r="F48" s="67"/>
      <x:c r="G48" s="67"/>
      <x:c r="H48" s="67"/>
      <x:c r="I48" s="67"/>
      <x:c r="J48" s="60"/>
      <x:c r="K48" s="60"/>
      <x:c r="L48" s="60"/>
      <x:c r="M48" s="60"/>
      <x:c r="N48" s="60"/>
      <x:c r="O48" s="60" t="str">
        <x:v>Snapshot only — live RPC pull not run in this workbook</x:v>
      </x:c>
      <x:c r="P48" s="60" t="str">
        <x:v>Atropa snapshot 2025-02-27 / atropa-tokens JSON</x:v>
      </x:c>
    </x:row>
    <x:row r="49">
      <x:c r="A49" s="60" t="str">
        <x:v>Saturday Night Live ㉭</x:v>
      </x:c>
      <x:c r="B49" s="60" t="str">
        <x:v>SNL ㉾</x:v>
      </x:c>
      <x:c r="C49" s="60" t="str">
        <x:v>0xcBE13C3292f7226FF5fd096A4DC53C52a4ED4DAA</x:v>
      </x:c>
      <x:c r="D49" s="67" t="n">
        <x:v>0</x:v>
      </x:c>
      <x:c r="E49" s="67"/>
      <x:c r="F49" s="67"/>
      <x:c r="G49" s="67"/>
      <x:c r="H49" s="67"/>
      <x:c r="I49" s="67"/>
      <x:c r="J49" s="60"/>
      <x:c r="K49" s="60"/>
      <x:c r="L49" s="60"/>
      <x:c r="M49" s="60"/>
      <x:c r="N49" s="60"/>
      <x:c r="O49" s="60" t="str">
        <x:v>Snapshot only — live RPC pull not run in this workbook</x:v>
      </x:c>
      <x:c r="P49" s="60" t="str">
        <x:v>Atropa snapshot 2025-02-27 / atropa-tokens JSON</x:v>
      </x:c>
    </x:row>
    <x:row r="50">
      <x:c r="A50" s="60" t="str">
        <x:v>ACiD Productions ㉾</x:v>
      </x:c>
      <x:c r="B50" s="60" t="str">
        <x:v>ACiD ㉾</x:v>
      </x:c>
      <x:c r="C50" s="60" t="str">
        <x:v>0xf8b6e89b851e03c724aad1F5170230A60490b819</x:v>
      </x:c>
      <x:c r="D50" s="67" t="n">
        <x:v>0</x:v>
      </x:c>
      <x:c r="E50" s="67"/>
      <x:c r="F50" s="67"/>
      <x:c r="G50" s="67"/>
      <x:c r="H50" s="67"/>
      <x:c r="I50" s="67"/>
      <x:c r="J50" s="60"/>
      <x:c r="K50" s="60"/>
      <x:c r="L50" s="60"/>
      <x:c r="M50" s="60"/>
      <x:c r="N50" s="60"/>
      <x:c r="O50" s="60" t="str">
        <x:v>Snapshot only — live RPC pull not run in this workbook</x:v>
      </x:c>
      <x:c r="P50" s="60" t="str">
        <x:v>Atropa snapshot 2025-02-27 / atropa-tokens JSON</x:v>
      </x:c>
    </x:row>
    <x:row r="51">
      <x:c r="A51" s="60" t="str">
        <x:v>NOVN</x:v>
      </x:c>
      <x:c r="B51" s="60" t="str">
        <x:v>Novartis AG</x:v>
      </x:c>
      <x:c r="C51" s="60" t="str">
        <x:v>0x242E264680054232661Af225467ec286E3F95652</x:v>
      </x:c>
      <x:c r="D51" s="67" t="n">
        <x:v>0</x:v>
      </x:c>
      <x:c r="E51" s="67"/>
      <x:c r="F51" s="67"/>
      <x:c r="G51" s="67"/>
      <x:c r="H51" s="67"/>
      <x:c r="I51" s="67"/>
      <x:c r="J51" s="60"/>
      <x:c r="K51" s="60"/>
      <x:c r="L51" s="60"/>
      <x:c r="M51" s="60"/>
      <x:c r="N51" s="60"/>
      <x:c r="O51" s="60" t="str">
        <x:v>Snapshot only — live RPC pull not run in this workbook</x:v>
      </x:c>
      <x:c r="P51" s="60" t="str">
        <x:v>Atropa snapshot 2025-02-27 / atropa-tokens JSON</x:v>
      </x:c>
    </x:row>
    <x:row r="52">
      <x:c r="A52" s="60" t="str">
        <x:v>ܐܡܝܕ</x:v>
      </x:c>
      <x:c r="B52" s="60" t="str">
        <x:v>ܐܡܝܕ ܥܢܝ̈ܢܐ ܏ܩܕܡ</x:v>
      </x:c>
      <x:c r="C52" s="60" t="str">
        <x:v>0x38D739B86233F7BC9CF82b231AEC4ffa749c2Efb</x:v>
      </x:c>
      <x:c r="D52" s="67" t="n">
        <x:v>1</x:v>
      </x:c>
      <x:c r="E52" s="67"/>
      <x:c r="F52" s="67"/>
      <x:c r="G52" s="67"/>
      <x:c r="H52" s="67"/>
      <x:c r="I52" s="67"/>
      <x:c r="J52" s="60"/>
      <x:c r="K52" s="60"/>
      <x:c r="L52" s="60"/>
      <x:c r="M52" s="60"/>
      <x:c r="N52" s="60"/>
      <x:c r="O52" s="60" t="str">
        <x:v>Snapshot only — live RPC pull not run in this workbook</x:v>
      </x:c>
      <x:c r="P52" s="60" t="str">
        <x:v>Atropa snapshot 2025-02-27 / atropa-tokens JSON</x:v>
      </x:c>
    </x:row>
    <x:row r="53">
      <x:c r="A53" s="60" t="str">
        <x:v>✠</x:v>
      </x:c>
      <x:c r="B53" s="60" t="str">
        <x:v>Knights Of Malta ✠</x:v>
      </x:c>
      <x:c r="C53" s="60" t="str">
        <x:v>0xee62EE9A354E55dF7C39209B4304161369333fF7</x:v>
      </x:c>
      <x:c r="D53" s="67" t="n">
        <x:v>80</x:v>
      </x:c>
      <x:c r="E53" s="67"/>
      <x:c r="F53" s="67"/>
      <x:c r="G53" s="67"/>
      <x:c r="H53" s="67"/>
      <x:c r="I53" s="67"/>
      <x:c r="J53" s="60"/>
      <x:c r="K53" s="60"/>
      <x:c r="L53" s="60"/>
      <x:c r="M53" s="60"/>
      <x:c r="N53" s="60"/>
      <x:c r="O53" s="60" t="str">
        <x:v>Snapshot only — live RPC pull not run in this workbook</x:v>
      </x:c>
      <x:c r="P53" s="60" t="str">
        <x:v>Atropa snapshot 2025-02-27 / atropa-tokens JSON</x:v>
      </x:c>
    </x:row>
    <x:row r="54">
      <x:c r="A54" s="60" t="str">
        <x:v>Ө ㉾</x:v>
      </x:c>
      <x:c r="B54" s="60" t="str">
        <x:v>Ө</x:v>
      </x:c>
      <x:c r="C54" s="60" t="str">
        <x:v>0xCd19062a6d3019b02A676D72e51D8de7A398dE25</x:v>
      </x:c>
      <x:c r="D54" s="67" t="n">
        <x:v>70</x:v>
      </x:c>
      <x:c r="E54" s="67"/>
      <x:c r="F54" s="67"/>
      <x:c r="G54" s="67"/>
      <x:c r="H54" s="67"/>
      <x:c r="I54" s="67"/>
      <x:c r="J54" s="60"/>
      <x:c r="K54" s="60"/>
      <x:c r="L54" s="60"/>
      <x:c r="M54" s="60"/>
      <x:c r="N54" s="60"/>
      <x:c r="O54" s="60" t="str">
        <x:v>Snapshot only — live RPC pull not run in this workbook</x:v>
      </x:c>
      <x:c r="P54" s="60" t="str">
        <x:v>Atropa snapshot 2025-02-27 / atropa-tokens JSON</x:v>
      </x:c>
    </x:row>
    <x:row r="55">
      <x:c r="A55" s="60" t="str">
        <x:v>BURR ㉫</x:v>
      </x:c>
      <x:c r="B55" s="60" t="str">
        <x:v>Bill Burr ㉫</x:v>
      </x:c>
      <x:c r="C55" s="60" t="str">
        <x:v>0xF7ebb9bc80fb6395373c6BbDF690fcFfb217a691</x:v>
      </x:c>
      <x:c r="D55" s="67" t="n">
        <x:v>1</x:v>
      </x:c>
      <x:c r="E55" s="67"/>
      <x:c r="F55" s="67"/>
      <x:c r="G55" s="67"/>
      <x:c r="H55" s="67"/>
      <x:c r="I55" s="67"/>
      <x:c r="J55" s="60"/>
      <x:c r="K55" s="60"/>
      <x:c r="L55" s="60"/>
      <x:c r="M55" s="60"/>
      <x:c r="N55" s="60"/>
      <x:c r="O55" s="60" t="str">
        <x:v>Snapshot only — live RPC pull not run in this workbook</x:v>
      </x:c>
      <x:c r="P55" s="60" t="str">
        <x:v>Atropa snapshot 2025-02-27 / atropa-tokens JSON</x:v>
      </x:c>
    </x:row>
    <x:row r="56">
      <x:c r="A56" s="60" t="str">
        <x:v>CROWS ㉫</x:v>
      </x:c>
      <x:c r="B56" s="60" t="str">
        <x:v>CROWS ㉫</x:v>
      </x:c>
      <x:c r="C56" s="60" t="str">
        <x:v>0x203e366A1821570b2f84Ff5ae8B3BdeB48Dc4fa1</x:v>
      </x:c>
      <x:c r="D56" s="67" t="n">
        <x:v>800</x:v>
      </x:c>
      <x:c r="E56" s="67"/>
      <x:c r="F56" s="67"/>
      <x:c r="G56" s="67"/>
      <x:c r="H56" s="67"/>
      <x:c r="I56" s="67"/>
      <x:c r="J56" s="60"/>
      <x:c r="K56" s="60"/>
      <x:c r="L56" s="60"/>
      <x:c r="M56" s="60"/>
      <x:c r="N56" s="60"/>
      <x:c r="O56" s="60" t="str">
        <x:v>Snapshot only — live RPC pull not run in this workbook</x:v>
      </x:c>
      <x:c r="P56" s="60" t="str">
        <x:v>Atropa snapshot 2025-02-27 / atropa-tokens JSON</x:v>
      </x:c>
    </x:row>
    <x:row r="57">
      <x:c r="A57" s="60" t="str">
        <x:v>Ǝ𒑰</x:v>
      </x:c>
      <x:c r="B57" s="60" t="str">
        <x:v>monat money Ǝ𒑰</x:v>
      </x:c>
      <x:c r="C57" s="60" t="str">
        <x:v>0xf8AB3393b1f5CD6184Fb6800A1fC802043C4063e</x:v>
      </x:c>
      <x:c r="D57" s="67" t="n">
        <x:v>11111111111</x:v>
      </x:c>
      <x:c r="E57" s="67"/>
      <x:c r="F57" s="67"/>
      <x:c r="G57" s="67"/>
      <x:c r="H57" s="67"/>
      <x:c r="I57" s="67"/>
      <x:c r="J57" s="60"/>
      <x:c r="K57" s="60"/>
      <x:c r="L57" s="60"/>
      <x:c r="M57" s="60"/>
      <x:c r="N57" s="60"/>
      <x:c r="O57" s="60" t="str">
        <x:v>Snapshot only — live RPC pull not run in this workbook</x:v>
      </x:c>
      <x:c r="P57" s="60" t="str">
        <x:v>Atropa snapshot 2025-02-27 / atropa-tokens JSON</x:v>
      </x:c>
    </x:row>
    <x:row r="58">
      <x:c r="A58" s="60" t="str">
        <x:v>2 Cent Club</x:v>
      </x:c>
      <x:c r="B58" s="60" t="str">
        <x:v>2CC</x:v>
      </x:c>
      <x:c r="C58" s="60" t="str">
        <x:v>0x6293373BF0DAE2050641973D49b7b2f71adC91a1</x:v>
      </x:c>
      <x:c r="D58" s="67" t="n">
        <x:v>4000</x:v>
      </x:c>
      <x:c r="E58" s="67"/>
      <x:c r="F58" s="67"/>
      <x:c r="G58" s="67"/>
      <x:c r="H58" s="67"/>
      <x:c r="I58" s="67"/>
      <x:c r="J58" s="60"/>
      <x:c r="K58" s="60"/>
      <x:c r="L58" s="60"/>
      <x:c r="M58" s="60"/>
      <x:c r="N58" s="60"/>
      <x:c r="O58" s="60" t="str">
        <x:v>Snapshot only — live RPC pull not run in this workbook</x:v>
      </x:c>
      <x:c r="P58" s="60" t="str">
        <x:v>Atropa snapshot 2025-02-27 / atropa-tokens JSON</x:v>
      </x:c>
    </x:row>
    <x:row r="59">
      <x:c r="A59" s="60" t="str">
        <x:v>2 Cent Club</x:v>
      </x:c>
      <x:c r="B59" s="60" t="str">
        <x:v>2CC</x:v>
      </x:c>
      <x:c r="C59" s="60" t="str">
        <x:v>0x8e1D639A3FdBd2072D905aDcB4Ccc6cB3fd8986E</x:v>
      </x:c>
      <x:c r="D59" s="67" t="n">
        <x:v>4000</x:v>
      </x:c>
      <x:c r="E59" s="67"/>
      <x:c r="F59" s="67"/>
      <x:c r="G59" s="67"/>
      <x:c r="H59" s="67"/>
      <x:c r="I59" s="67"/>
      <x:c r="J59" s="60"/>
      <x:c r="K59" s="60"/>
      <x:c r="L59" s="60"/>
      <x:c r="M59" s="60"/>
      <x:c r="N59" s="60"/>
      <x:c r="O59" s="60" t="str">
        <x:v>Snapshot only — live RPC pull not run in this workbook</x:v>
      </x:c>
      <x:c r="P59" s="60" t="str">
        <x:v>Atropa snapshot 2025-02-27 / atropa-tokens JSON</x:v>
      </x:c>
    </x:row>
    <x:row r="60">
      <x:c r="A60" s="60" t="str">
        <x:v>ຮູງ໊ໄ</x:v>
      </x:c>
      <x:c r="B60" s="60" t="str">
        <x:v>ຮູງ໊</x:v>
      </x:c>
      <x:c r="C60" s="60" t="str">
        <x:v>0xd6077A029Fb5BEF33b02391D7f0349c345F6DDb1</x:v>
      </x:c>
      <x:c r="D60" s="67" t="n">
        <x:v>4000000000</x:v>
      </x:c>
      <x:c r="E60" s="67"/>
      <x:c r="F60" s="67"/>
      <x:c r="G60" s="67"/>
      <x:c r="H60" s="67"/>
      <x:c r="I60" s="67"/>
      <x:c r="J60" s="60"/>
      <x:c r="K60" s="60"/>
      <x:c r="L60" s="60"/>
      <x:c r="M60" s="60"/>
      <x:c r="N60" s="60"/>
      <x:c r="O60" s="60" t="str">
        <x:v>Snapshot only — live RPC pull not run in this workbook</x:v>
      </x:c>
      <x:c r="P60" s="60" t="str">
        <x:v>Atropa snapshot 2025-02-27 / atropa-tokens JSON</x:v>
      </x:c>
    </x:row>
    <x:row r="61">
      <x:c r="A61" s="60" t="str">
        <x:v>𐐏</x:v>
      </x:c>
      <x:c r="B61" s="60" t="str">
        <x:v>ᔨ𐐏𐐤ቆᔪ</x:v>
      </x:c>
      <x:c r="C61" s="60" t="str">
        <x:v>0x50E72874dCd7C198d370ac27c7B3cce9f9a0defd</x:v>
      </x:c>
      <x:c r="D61" s="67" t="n">
        <x:v>111</x:v>
      </x:c>
      <x:c r="E61" s="67"/>
      <x:c r="F61" s="67"/>
      <x:c r="G61" s="67"/>
      <x:c r="H61" s="67"/>
      <x:c r="I61" s="67"/>
      <x:c r="J61" s="60"/>
      <x:c r="K61" s="60"/>
      <x:c r="L61" s="60"/>
      <x:c r="M61" s="60"/>
      <x:c r="N61" s="60"/>
      <x:c r="O61" s="60" t="str">
        <x:v>Snapshot only — live RPC pull not run in this workbook</x:v>
      </x:c>
      <x:c r="P61" s="60" t="str">
        <x:v>Atropa snapshot 2025-02-27 / atropa-tokens JSON</x:v>
      </x:c>
    </x:row>
    <x:row r="62">
      <x:c r="A62" s="60" t="str">
        <x:v>ᎧᏃ</x:v>
      </x:c>
      <x:c r="B62" s="60" t="str">
        <x:v>ᎧᏃᎮᎸᏍᎩ</x:v>
      </x:c>
      <x:c r="C62" s="60" t="str">
        <x:v>0x83a918056aB9316837Dc48a216119D679D561d91</x:v>
      </x:c>
      <x:c r="D62" s="67" t="n">
        <x:v>999</x:v>
      </x:c>
      <x:c r="E62" s="67"/>
      <x:c r="F62" s="67"/>
      <x:c r="G62" s="67"/>
      <x:c r="H62" s="67"/>
      <x:c r="I62" s="67"/>
      <x:c r="J62" s="60"/>
      <x:c r="K62" s="60"/>
      <x:c r="L62" s="60"/>
      <x:c r="M62" s="60"/>
      <x:c r="N62" s="60"/>
      <x:c r="O62" s="60" t="str">
        <x:v>Snapshot only — live RPC pull not run in this workbook</x:v>
      </x:c>
      <x:c r="P62" s="60" t="str">
        <x:v>Atropa snapshot 2025-02-27 / atropa-tokens JSON</x:v>
      </x:c>
    </x:row>
    <x:row r="63">
      <x:c r="A63" s="60" t="str">
        <x:v>𐐧Ꮖ</x:v>
      </x:c>
      <x:c r="B63" s="60" t="str">
        <x:v>𐐧 ᎦᏆᏙᏗ</x:v>
      </x:c>
      <x:c r="C63" s="60" t="str">
        <x:v>0xb9A44De20f26a027e467CB6c2F98766F01904189</x:v>
      </x:c>
      <x:c r="D63" s="67" t="n">
        <x:v>999</x:v>
      </x:c>
      <x:c r="E63" s="67"/>
      <x:c r="F63" s="67"/>
      <x:c r="G63" s="67"/>
      <x:c r="H63" s="67"/>
      <x:c r="I63" s="67"/>
      <x:c r="J63" s="60"/>
      <x:c r="K63" s="60"/>
      <x:c r="L63" s="60"/>
      <x:c r="M63" s="60"/>
      <x:c r="N63" s="60"/>
      <x:c r="O63" s="60" t="str">
        <x:v>Snapshot only — live RPC pull not run in this workbook</x:v>
      </x:c>
      <x:c r="P63" s="60" t="str">
        <x:v>Atropa snapshot 2025-02-27 / atropa-tokens JSON</x:v>
      </x:c>
    </x:row>
    <x:row r="64">
      <x:c r="A64" s="60" t="str">
        <x:v>𐐒𐐬𐐿𐐨𐑍𐐸𐐰𐑋</x:v>
      </x:c>
      <x:c r="B64" s="60" t="str">
        <x:v>𐐒𐐄𐐗</x:v>
      </x:c>
      <x:c r="C64" s="60" t="str">
        <x:v>0xe5d3A6e88590fc2A8037D9CCbd816C05B1ff5f11</x:v>
      </x:c>
      <x:c r="D64" s="67" t="n">
        <x:v>999</x:v>
      </x:c>
      <x:c r="E64" s="67"/>
      <x:c r="F64" s="67"/>
      <x:c r="G64" s="67"/>
      <x:c r="H64" s="67"/>
      <x:c r="I64" s="67"/>
      <x:c r="J64" s="60"/>
      <x:c r="K64" s="60"/>
      <x:c r="L64" s="60"/>
      <x:c r="M64" s="60"/>
      <x:c r="N64" s="60"/>
      <x:c r="O64" s="60" t="str">
        <x:v>Snapshot only — live RPC pull not run in this workbook</x:v>
      </x:c>
      <x:c r="P64" s="60" t="str">
        <x:v>Atropa snapshot 2025-02-27 / atropa-tokens JSON</x:v>
      </x:c>
    </x:row>
    <x:row r="65">
      <x:c r="A65" s="60" t="str">
        <x:v>ߦ ㉺</x:v>
      </x:c>
      <x:c r="B65" s="60" t="str">
        <x:v>ߝߐߔߎߌߖߦ</x:v>
      </x:c>
      <x:c r="C65" s="60" t="str">
        <x:v>0x7FB09EE1a2c0E8b6D1c4E19C0248B3CbC0113af6</x:v>
      </x:c>
      <x:c r="D65" s="67" t="n">
        <x:v>194802701</x:v>
      </x:c>
      <x:c r="E65" s="67"/>
      <x:c r="F65" s="67"/>
      <x:c r="G65" s="67"/>
      <x:c r="H65" s="67"/>
      <x:c r="I65" s="67"/>
      <x:c r="J65" s="60"/>
      <x:c r="K65" s="60"/>
      <x:c r="L65" s="60"/>
      <x:c r="M65" s="60"/>
      <x:c r="N65" s="60"/>
      <x:c r="O65" s="60" t="str">
        <x:v>Snapshot only — live RPC pull not run in this workbook</x:v>
      </x:c>
      <x:c r="P65" s="60" t="str">
        <x:v>Atropa snapshot 2025-02-27 / atropa-tokens JSON</x:v>
      </x:c>
    </x:row>
    <x:row r="66">
      <x:c r="A66" s="60" t="str">
        <x:v>ᜤ᜴</x:v>
      </x:c>
      <x:c r="B66" s="60" t="str">
        <x:v>ᜮᜳᜪᜯᜳᜰᜲ᜶ᜤ᜴</x:v>
      </x:c>
      <x:c r="C66" s="60" t="str">
        <x:v>0xb4C1248812dAbF72cb2e82175b4c0aCffE4D2b10</x:v>
      </x:c>
      <x:c r="D66" s="67" t="n">
        <x:v>557.0011915871637</x:v>
      </x:c>
      <x:c r="E66" s="67"/>
      <x:c r="F66" s="67"/>
      <x:c r="G66" s="67"/>
      <x:c r="H66" s="67"/>
      <x:c r="I66" s="67"/>
      <x:c r="J66" s="60"/>
      <x:c r="K66" s="60"/>
      <x:c r="L66" s="60"/>
      <x:c r="M66" s="60"/>
      <x:c r="N66" s="60"/>
      <x:c r="O66" s="60" t="str">
        <x:v>Snapshot only — live RPC pull not run in this workbook</x:v>
      </x:c>
      <x:c r="P66" s="60" t="str">
        <x:v>Atropa snapshot 2025-02-27 / atropa-tokens JSON</x:v>
      </x:c>
    </x:row>
    <x:row r="67">
      <x:c r="A67" s="60" t="str">
        <x:v>Sandringham House</x:v>
      </x:c>
      <x:c r="B67" s="60" t="str">
        <x:v>SAND</x:v>
      </x:c>
      <x:c r="C67" s="60" t="str">
        <x:v>0x22811d185d2996841E79F2668Af87e574890aeF8</x:v>
      </x:c>
      <x:c r="D67" s="67" t="n">
        <x:v>666</x:v>
      </x:c>
      <x:c r="E67" s="67"/>
      <x:c r="F67" s="67"/>
      <x:c r="G67" s="67"/>
      <x:c r="H67" s="67"/>
      <x:c r="I67" s="67"/>
      <x:c r="J67" s="60"/>
      <x:c r="K67" s="60"/>
      <x:c r="L67" s="60"/>
      <x:c r="M67" s="60"/>
      <x:c r="N67" s="60"/>
      <x:c r="O67" s="60" t="str">
        <x:v>Snapshot only — live RPC pull not run in this workbook</x:v>
      </x:c>
      <x:c r="P67" s="60" t="str">
        <x:v>Atropa snapshot 2025-02-27 / atropa-tokens JSON</x:v>
      </x:c>
    </x:row>
    <x:row r="68">
      <x:c r="A68" s="60" t="str">
        <x:v>דרײדל ㉻</x:v>
      </x:c>
      <x:c r="B68" s="60" t="str">
        <x:v>㉻</x:v>
      </x:c>
      <x:c r="C68" s="60" t="str">
        <x:v>0x8A03b032c5494219B212e5a74A49e2aa7F9d206F</x:v>
      </x:c>
      <x:c r="D68" s="67" t="n">
        <x:v>4</x:v>
      </x:c>
      <x:c r="E68" s="67"/>
      <x:c r="F68" s="67"/>
      <x:c r="G68" s="67"/>
      <x:c r="H68" s="67"/>
      <x:c r="I68" s="67"/>
      <x:c r="J68" s="60"/>
      <x:c r="K68" s="60"/>
      <x:c r="L68" s="60"/>
      <x:c r="M68" s="60"/>
      <x:c r="N68" s="60"/>
      <x:c r="O68" s="60" t="str">
        <x:v>Snapshot only — live RPC pull not run in this workbook</x:v>
      </x:c>
      <x:c r="P68" s="60" t="str">
        <x:v>Atropa snapshot 2025-02-27 / atropa-tokens JSON</x:v>
      </x:c>
    </x:row>
    <x:row r="69">
      <x:c r="A69" s="60" t="str">
        <x:v>𐇛𐇹𐇺𐇧𐇱</x:v>
      </x:c>
      <x:c r="B69" s="60" t="str">
        <x:v>𐇴</x:v>
      </x:c>
      <x:c r="C69" s="60" t="str">
        <x:v>0x9A3796Cf41B7CbA6921fd50c3f5204ED6506C3e7</x:v>
      </x:c>
      <x:c r="D69" s="67" t="n">
        <x:v>999</x:v>
      </x:c>
      <x:c r="E69" s="67"/>
      <x:c r="F69" s="67"/>
      <x:c r="G69" s="67"/>
      <x:c r="H69" s="67"/>
      <x:c r="I69" s="67"/>
      <x:c r="J69" s="60"/>
      <x:c r="K69" s="60"/>
      <x:c r="L69" s="60"/>
      <x:c r="M69" s="60"/>
      <x:c r="N69" s="60"/>
      <x:c r="O69" s="60" t="str">
        <x:v>Snapshot only — live RPC pull not run in this workbook</x:v>
      </x:c>
      <x:c r="P69" s="60" t="str">
        <x:v>Atropa snapshot 2025-02-27 / atropa-tokens JSON</x:v>
      </x:c>
    </x:row>
    <x:row r="70">
      <x:c r="A70" s="60" t="str">
        <x:v>ഴുു</x:v>
      </x:c>
      <x:c r="B70" s="60" t="str">
        <x:v>സ്കാൂംക്ഷഴുു</x:v>
      </x:c>
      <x:c r="C70" s="60" t="str">
        <x:v>0x60Df6bB066a0C643789559a7DE0F8997FAb89f33</x:v>
      </x:c>
      <x:c r="D70" s="67" t="n">
        <x:v>100</x:v>
      </x:c>
      <x:c r="E70" s="67"/>
      <x:c r="F70" s="67"/>
      <x:c r="G70" s="67"/>
      <x:c r="H70" s="67"/>
      <x:c r="I70" s="67"/>
      <x:c r="J70" s="60"/>
      <x:c r="K70" s="60"/>
      <x:c r="L70" s="60"/>
      <x:c r="M70" s="60"/>
      <x:c r="N70" s="60"/>
      <x:c r="O70" s="60" t="str">
        <x:v>Snapshot only — live RPC pull not run in this workbook</x:v>
      </x:c>
      <x:c r="P70" s="60" t="str">
        <x:v>Atropa snapshot 2025-02-27 / atropa-tokens JSON</x:v>
      </x:c>
    </x:row>
    <x:row r="71">
      <x:c r="A71" s="60" t="str">
        <x:v>ᰈᰲᰀᰩᰝᰱᱍᰯ</x:v>
      </x:c>
      <x:c r="B71" s="60" t="str">
        <x:v>ᱍᰯ</x:v>
      </x:c>
      <x:c r="C71" s="60" t="str">
        <x:v>0x52c32a667669a59f051ED174aAA9560F52d916E9</x:v>
      </x:c>
      <x:c r="D71" s="67" t="n">
        <x:v>100</x:v>
      </x:c>
      <x:c r="E71" s="67"/>
      <x:c r="F71" s="67"/>
      <x:c r="G71" s="67"/>
      <x:c r="H71" s="67"/>
      <x:c r="I71" s="67"/>
      <x:c r="J71" s="60"/>
      <x:c r="K71" s="60"/>
      <x:c r="L71" s="60"/>
      <x:c r="M71" s="60"/>
      <x:c r="N71" s="60"/>
      <x:c r="O71" s="60" t="str">
        <x:v>Snapshot only — live RPC pull not run in this workbook</x:v>
      </x:c>
      <x:c r="P71" s="60" t="str">
        <x:v>Atropa snapshot 2025-02-27 / atropa-tokens JSON</x:v>
      </x:c>
    </x:row>
    <x:row r="72">
      <x:c r="A72" s="60" t="str">
        <x:v>ꦧꦺꦴ</x:v>
      </x:c>
      <x:c r="B72" s="60" t="str">
        <x:v>ꦧꦿꦛꦼꦏꦶꦃ꧇</x:v>
      </x:c>
      <x:c r="C72" s="60" t="str">
        <x:v>0xb6936B8e82626405f6E601D54a8292881D86b47D</x:v>
      </x:c>
      <x:c r="D72" s="67" t="n">
        <x:v>101</x:v>
      </x:c>
      <x:c r="E72" s="67"/>
      <x:c r="F72" s="67"/>
      <x:c r="G72" s="67"/>
      <x:c r="H72" s="67"/>
      <x:c r="I72" s="67"/>
      <x:c r="J72" s="60"/>
      <x:c r="K72" s="60"/>
      <x:c r="L72" s="60"/>
      <x:c r="M72" s="60"/>
      <x:c r="N72" s="60"/>
      <x:c r="O72" s="60" t="str">
        <x:v>Snapshot only — live RPC pull not run in this workbook</x:v>
      </x:c>
      <x:c r="P72" s="60" t="str">
        <x:v>Atropa snapshot 2025-02-27 / atropa-tokens JSON</x:v>
      </x:c>
    </x:row>
    <x:row r="73">
      <x:c r="A73" s="60" t="str">
        <x:v>⠐</x:v>
      </x:c>
      <x:c r="B73" s="60" t="str">
        <x:v>⠙⠜⠍⠏⠖</x:v>
      </x:c>
      <x:c r="C73" s="60" t="str">
        <x:v>0x08Fe5c72173044314A74705089d014a4416Ed71D</x:v>
      </x:c>
      <x:c r="D73" s="67" t="n">
        <x:v>400</x:v>
      </x:c>
      <x:c r="E73" s="67"/>
      <x:c r="F73" s="67"/>
      <x:c r="G73" s="67"/>
      <x:c r="H73" s="67"/>
      <x:c r="I73" s="67"/>
      <x:c r="J73" s="60"/>
      <x:c r="K73" s="60"/>
      <x:c r="L73" s="60"/>
      <x:c r="M73" s="60"/>
      <x:c r="N73" s="60"/>
      <x:c r="O73" s="60" t="str">
        <x:v>Snapshot only — live RPC pull not run in this workbook</x:v>
      </x:c>
      <x:c r="P73" s="60" t="str">
        <x:v>Atropa snapshot 2025-02-27 / atropa-tokens JSON</x:v>
      </x:c>
    </x:row>
    <x:row r="74">
      <x:c r="A74" s="60" t="str">
        <x:v>GOD</x:v>
      </x:c>
      <x:c r="B74" s="60" t="str">
        <x:v>De Civitate Dei</x:v>
      </x:c>
      <x:c r="C74" s="60" t="str">
        <x:v>0xF77c946C18A77B5DdA5e839dA9818C4D1f087393</x:v>
      </x:c>
      <x:c r="D74" s="67" t="n">
        <x:v>105</x:v>
      </x:c>
      <x:c r="E74" s="67"/>
      <x:c r="F74" s="67"/>
      <x:c r="G74" s="67"/>
      <x:c r="H74" s="67"/>
      <x:c r="I74" s="67"/>
      <x:c r="J74" s="60"/>
      <x:c r="K74" s="60"/>
      <x:c r="L74" s="60"/>
      <x:c r="M74" s="60"/>
      <x:c r="N74" s="60"/>
      <x:c r="O74" s="60" t="str">
        <x:v>Snapshot only — live RPC pull not run in this workbook</x:v>
      </x:c>
      <x:c r="P74" s="60" t="str">
        <x:v>Atropa snapshot 2025-02-27 / atropa-tokens JSON</x:v>
      </x:c>
    </x:row>
    <x:row r="75">
      <x:c r="A75" s="60" t="str">
        <x:v>⠛⡑</x:v>
      </x:c>
      <x:c r="B75" s="60" t="str">
        <x:v>⡑⠛⢏</x:v>
      </x:c>
      <x:c r="C75" s="60" t="str">
        <x:v>0xd18a27A8Df4df35DF570743AA47b08cCF8Ab256B</x:v>
      </x:c>
      <x:c r="D75" s="67" t="n">
        <x:v>105</x:v>
      </x:c>
      <x:c r="E75" s="67"/>
      <x:c r="F75" s="67"/>
      <x:c r="G75" s="67"/>
      <x:c r="H75" s="67"/>
      <x:c r="I75" s="67"/>
      <x:c r="J75" s="60"/>
      <x:c r="K75" s="60"/>
      <x:c r="L75" s="60"/>
      <x:c r="M75" s="60"/>
      <x:c r="N75" s="60"/>
      <x:c r="O75" s="60" t="str">
        <x:v>Snapshot only — live RPC pull not run in this workbook</x:v>
      </x:c>
      <x:c r="P75" s="60" t="str">
        <x:v>Atropa snapshot 2025-02-27 / atropa-tokens JSON</x:v>
      </x:c>
    </x:row>
    <x:row r="76">
      <x:c r="A76" s="60" t="str">
        <x:v>ᝃᝈᝐᝆ</x:v>
      </x:c>
      <x:c r="B76" s="60" t="str">
        <x:v>CANASTA</x:v>
      </x:c>
      <x:c r="C76" s="60" t="str">
        <x:v>0x8f326f4530D02c6C5BBF8Acd46DDBB0391871e85</x:v>
      </x:c>
      <x:c r="D76" s="67" t="n">
        <x:v>666</x:v>
      </x:c>
      <x:c r="E76" s="67"/>
      <x:c r="F76" s="67"/>
      <x:c r="G76" s="67"/>
      <x:c r="H76" s="67"/>
      <x:c r="I76" s="67"/>
      <x:c r="J76" s="60"/>
      <x:c r="K76" s="60"/>
      <x:c r="L76" s="60"/>
      <x:c r="M76" s="60"/>
      <x:c r="N76" s="60"/>
      <x:c r="O76" s="60" t="str">
        <x:v>Snapshot only — live RPC pull not run in this workbook</x:v>
      </x:c>
      <x:c r="P76" s="60" t="str">
        <x:v>Atropa snapshot 2025-02-27 / atropa-tokens JSON</x:v>
      </x:c>
    </x:row>
    <x:row r="77">
      <x:c r="A77" s="60" t="str">
        <x:v>ᱯᱨ</x:v>
      </x:c>
      <x:c r="B77" s="60" t="str">
        <x:v>ᱰᱩᱯᱨᱳᱱ</x:v>
      </x:c>
      <x:c r="C77" s="60" t="str">
        <x:v>0x0C662a3Df5d6FbF1902ab5fa2Fe40A0ce377620f</x:v>
      </x:c>
      <x:c r="D77" s="67" t="n">
        <x:v>666</x:v>
      </x:c>
      <x:c r="E77" s="67"/>
      <x:c r="F77" s="67"/>
      <x:c r="G77" s="67"/>
      <x:c r="H77" s="67"/>
      <x:c r="I77" s="67"/>
      <x:c r="J77" s="60"/>
      <x:c r="K77" s="60"/>
      <x:c r="L77" s="60"/>
      <x:c r="M77" s="60"/>
      <x:c r="N77" s="60"/>
      <x:c r="O77" s="60" t="str">
        <x:v>Snapshot only — live RPC pull not run in this workbook</x:v>
      </x:c>
      <x:c r="P77" s="60" t="str">
        <x:v>Atropa snapshot 2025-02-27 / atropa-tokens JSON</x:v>
      </x:c>
    </x:row>
    <x:row r="78">
      <x:c r="A78" s="60" t="str">
        <x:v>ՔՈՏ</x:v>
      </x:c>
      <x:c r="B78" s="60" t="str">
        <x:v>ԳՐԵՆԼԱՆԴԻԱ</x:v>
      </x:c>
      <x:c r="C78" s="60" t="str">
        <x:v>0xdE4Ef7Ea464c7771803b9838AeA07cE41089b054</x:v>
      </x:c>
      <x:c r="D78" s="67" t="n">
        <x:v>62000</x:v>
      </x:c>
      <x:c r="E78" s="67"/>
      <x:c r="F78" s="67"/>
      <x:c r="G78" s="67"/>
      <x:c r="H78" s="67"/>
      <x:c r="I78" s="67"/>
      <x:c r="J78" s="60"/>
      <x:c r="K78" s="60"/>
      <x:c r="L78" s="60"/>
      <x:c r="M78" s="60"/>
      <x:c r="N78" s="60"/>
      <x:c r="O78" s="60" t="str">
        <x:v>Snapshot only — live RPC pull not run in this workbook</x:v>
      </x:c>
      <x:c r="P78" s="60" t="str">
        <x:v>Atropa snapshot 2025-02-27 / atropa-tokens JSON</x:v>
      </x:c>
    </x:row>
    <x:row r="79">
      <x:c r="A79" s="60" t="str">
        <x:v>䷽䷸</x:v>
      </x:c>
      <x:c r="B79" s="60" t="str">
        <x:v>䷥䷝䷏䷑䷽䷸</x:v>
      </x:c>
      <x:c r="C79" s="60" t="str">
        <x:v>0x0D4b0C8c4C32dEf9C742014fF17BB21b30B3A762</x:v>
      </x:c>
      <x:c r="D79" s="67" t="n">
        <x:v>666</x:v>
      </x:c>
      <x:c r="E79" s="67"/>
      <x:c r="F79" s="67"/>
      <x:c r="G79" s="67"/>
      <x:c r="H79" s="67"/>
      <x:c r="I79" s="67"/>
      <x:c r="J79" s="60"/>
      <x:c r="K79" s="60"/>
      <x:c r="L79" s="60"/>
      <x:c r="M79" s="60"/>
      <x:c r="N79" s="60"/>
      <x:c r="O79" s="60" t="str">
        <x:v>Snapshot only — live RPC pull not run in this workbook</x:v>
      </x:c>
      <x:c r="P79" s="60" t="str">
        <x:v>Atropa snapshot 2025-02-27 / atropa-tokens JSON</x:v>
      </x:c>
    </x:row>
    <x:row r="80">
      <x:c r="A80" s="60" t="str">
        <x:v>Ⴥჸ</x:v>
      </x:c>
      <x:c r="B80" s="60" t="str">
        <x:v>HOES</x:v>
      </x:c>
      <x:c r="C80" s="60" t="str">
        <x:v>0x3f92D9eE64a3E1405302e68EE0fDE9e085f8CE4B</x:v>
      </x:c>
      <x:c r="D80" s="67" t="n">
        <x:v>1</x:v>
      </x:c>
      <x:c r="E80" s="67"/>
      <x:c r="F80" s="67"/>
      <x:c r="G80" s="67"/>
      <x:c r="H80" s="67"/>
      <x:c r="I80" s="67"/>
      <x:c r="J80" s="60"/>
      <x:c r="K80" s="60"/>
      <x:c r="L80" s="60"/>
      <x:c r="M80" s="60"/>
      <x:c r="N80" s="60"/>
      <x:c r="O80" s="60" t="str">
        <x:v>Snapshot only — live RPC pull not run in this workbook</x:v>
      </x:c>
      <x:c r="P80" s="60" t="str">
        <x:v>Atropa snapshot 2025-02-27 / atropa-tokens JSON</x:v>
      </x:c>
    </x:row>
    <x:row r="81">
      <x:c r="A81" s="60" t="str">
        <x:v>ᚘ</x:v>
      </x:c>
      <x:c r="B81" s="60" t="str">
        <x:v>ᚘꠇᝣꤲᚘ</x:v>
      </x:c>
      <x:c r="C81" s="60" t="str">
        <x:v>0x748F3deDf7A31Ded9Cf6421f44f967e3ed85e83a</x:v>
      </x:c>
      <x:c r="D81" s="67" t="n">
        <x:v>666</x:v>
      </x:c>
      <x:c r="E81" s="67"/>
      <x:c r="F81" s="67"/>
      <x:c r="G81" s="67"/>
      <x:c r="H81" s="67"/>
      <x:c r="I81" s="67"/>
      <x:c r="J81" s="60"/>
      <x:c r="K81" s="60"/>
      <x:c r="L81" s="60"/>
      <x:c r="M81" s="60"/>
      <x:c r="N81" s="60"/>
      <x:c r="O81" s="60" t="str">
        <x:v>Snapshot only — live RPC pull not run in this workbook</x:v>
      </x:c>
      <x:c r="P81" s="60" t="str">
        <x:v>Atropa snapshot 2025-02-27 / atropa-tokens JSON</x:v>
      </x:c>
    </x:row>
    <x:row r="82">
      <x:c r="A82" s="60" t="str">
        <x:v>ϮϬϮϨ</x:v>
      </x:c>
      <x:c r="B82" s="60" t="str">
        <x:v>HOST</x:v>
      </x:c>
      <x:c r="C82" s="60" t="str">
        <x:v>0x1162104a7b8766784153Dd2D6aC0eCEAecD28117</x:v>
      </x:c>
      <x:c r="D82" s="67" t="n">
        <x:v>4</x:v>
      </x:c>
      <x:c r="E82" s="67"/>
      <x:c r="F82" s="67"/>
      <x:c r="G82" s="67"/>
      <x:c r="H82" s="67"/>
      <x:c r="I82" s="67"/>
      <x:c r="J82" s="60"/>
      <x:c r="K82" s="60"/>
      <x:c r="L82" s="60"/>
      <x:c r="M82" s="60"/>
      <x:c r="N82" s="60"/>
      <x:c r="O82" s="60" t="str">
        <x:v>Snapshot only — live RPC pull not run in this workbook</x:v>
      </x:c>
      <x:c r="P82" s="60" t="str">
        <x:v>Atropa snapshot 2025-02-27 / atropa-tokens JSON</x:v>
      </x:c>
    </x:row>
    <x:row r="83">
      <x:c r="A83" s="60" t="str">
        <x:v>_x0015__x0081__x001a__x0008_</x:v>
      </x:c>
      <x:c r="B83" s="60" t="str">
        <x:v>_x0007_</x:v>
      </x:c>
      <x:c r="C83" s="60" t="str">
        <x:v>0xB2D8e9717931F58EF6d2c8ee548Ec964091Fb6E7</x:v>
      </x:c>
      <x:c r="D83" s="67" t="n">
        <x:v>100</x:v>
      </x:c>
      <x:c r="E83" s="67"/>
      <x:c r="F83" s="67"/>
      <x:c r="G83" s="67"/>
      <x:c r="H83" s="67"/>
      <x:c r="I83" s="67"/>
      <x:c r="J83" s="60"/>
      <x:c r="K83" s="60"/>
      <x:c r="L83" s="60"/>
      <x:c r="M83" s="60"/>
      <x:c r="N83" s="60"/>
      <x:c r="O83" s="60" t="str">
        <x:v>Snapshot only — live RPC pull not run in this workbook</x:v>
      </x:c>
      <x:c r="P83" s="60" t="str">
        <x:v>Atropa snapshot 2025-02-27 / atropa-tokens JSON</x:v>
      </x:c>
    </x:row>
    <x:row r="84">
      <x:c r="A84" s="60" t="str">
        <x:v>ᥴᥧᥝᥕ</x:v>
      </x:c>
      <x:c r="B84" s="60" t="str">
        <x:v>佛音</x:v>
      </x:c>
      <x:c r="C84" s="60" t="str">
        <x:v>0x840CBD20A70774BECAc4e932Fff6fb1f5417997F</x:v>
      </x:c>
      <x:c r="D84" s="67" t="n">
        <x:v>1.6392173767089844</x:v>
      </x:c>
      <x:c r="E84" s="67"/>
      <x:c r="F84" s="67"/>
      <x:c r="G84" s="67"/>
      <x:c r="H84" s="67"/>
      <x:c r="I84" s="67"/>
      <x:c r="J84" s="60"/>
      <x:c r="K84" s="60"/>
      <x:c r="L84" s="60"/>
      <x:c r="M84" s="60"/>
      <x:c r="N84" s="60"/>
      <x:c r="O84" s="60" t="str">
        <x:v>Snapshot only — live RPC pull not run in this workbook</x:v>
      </x:c>
      <x:c r="P84" s="60" t="str">
        <x:v>Atropa snapshot 2025-02-27 / atropa-tokens JSON</x:v>
      </x:c>
    </x:row>
    <x:row r="85">
      <x:c r="A85" s="60" t="str">
        <x:v>Century Means Silence</x:v>
      </x:c>
      <x:c r="B85" s="60" t="str">
        <x:v>PUNK</x:v>
      </x:c>
      <x:c r="C85" s="60" t="str">
        <x:v>0x7614Fabf7e0b0dfCC0e02A14E720677148c5141d</x:v>
      </x:c>
      <x:c r="D85" s="67" t="n">
        <x:v>700</x:v>
      </x:c>
      <x:c r="E85" s="67"/>
      <x:c r="F85" s="67"/>
      <x:c r="G85" s="67"/>
      <x:c r="H85" s="67"/>
      <x:c r="I85" s="67"/>
      <x:c r="J85" s="60"/>
      <x:c r="K85" s="60"/>
      <x:c r="L85" s="60"/>
      <x:c r="M85" s="60"/>
      <x:c r="N85" s="60"/>
      <x:c r="O85" s="60" t="str">
        <x:v>Snapshot only — live RPC pull not run in this workbook</x:v>
      </x:c>
      <x:c r="P85" s="60" t="str">
        <x:v>Atropa snapshot 2025-02-27 / atropa-tokens JSON</x:v>
      </x:c>
    </x:row>
    <x:row r="86">
      <x:c r="A86" s="60" t="str">
        <x:v>מונופיזיטיזם</x:v>
      </x:c>
      <x:c r="B86" s="60" t="str">
        <x:v>סם</x:v>
      </x:c>
      <x:c r="C86" s="60" t="str">
        <x:v>0xBb341FD5C855c206f5538cc649f90d84Df19b65a</x:v>
      </x:c>
      <x:c r="D86" s="67" t="n">
        <x:v>222</x:v>
      </x:c>
      <x:c r="E86" s="67"/>
      <x:c r="F86" s="67"/>
      <x:c r="G86" s="67"/>
      <x:c r="H86" s="67"/>
      <x:c r="I86" s="67"/>
      <x:c r="J86" s="60"/>
      <x:c r="K86" s="60"/>
      <x:c r="L86" s="60"/>
      <x:c r="M86" s="60"/>
      <x:c r="N86" s="60"/>
      <x:c r="O86" s="60" t="str">
        <x:v>Snapshot only — live RPC pull not run in this workbook</x:v>
      </x:c>
      <x:c r="P86" s="60" t="str">
        <x:v>Atropa snapshot 2025-02-27 / atropa-tokens JSON</x:v>
      </x:c>
    </x:row>
    <x:row r="87">
      <x:c r="A87" s="60" t="str">
        <x:v>රුධිර මත්පැන්</x:v>
      </x:c>
      <x:c r="B87" s="60" t="str">
        <x:v>MORPH</x:v>
      </x:c>
      <x:c r="C87" s="60" t="str">
        <x:v>0xF9bC351eef0F1242953Dde097C9e6e57B8FF3A42</x:v>
      </x:c>
      <x:c r="D87" s="67" t="n">
        <x:v>3.16</x:v>
      </x:c>
      <x:c r="E87" s="67"/>
      <x:c r="F87" s="67"/>
      <x:c r="G87" s="67"/>
      <x:c r="H87" s="67"/>
      <x:c r="I87" s="67"/>
      <x:c r="J87" s="60"/>
      <x:c r="K87" s="60"/>
      <x:c r="L87" s="60"/>
      <x:c r="M87" s="60"/>
      <x:c r="N87" s="60"/>
      <x:c r="O87" s="60" t="str">
        <x:v>Snapshot only — live RPC pull not run in this workbook</x:v>
      </x:c>
      <x:c r="P87" s="60" t="str">
        <x:v>Atropa snapshot 2025-02-27 / atropa-tokens JSON</x:v>
      </x:c>
    </x:row>
    <x:row r="88">
      <x:c r="A88" s="60" t="str">
        <x:v>꤅ꤪꤐꤧꤗ꤬</x:v>
      </x:c>
      <x:c r="B88" s="60" t="str">
        <x:v>PhD</x:v>
      </x:c>
      <x:c r="C88" s="60" t="str">
        <x:v>0x6236073377AC7e0aB694957dA5d7d4241e72EBc6</x:v>
      </x:c>
      <x:c r="D88" s="67" t="n">
        <x:v>212</x:v>
      </x:c>
      <x:c r="E88" s="67"/>
      <x:c r="F88" s="67"/>
      <x:c r="G88" s="67"/>
      <x:c r="H88" s="67"/>
      <x:c r="I88" s="67"/>
      <x:c r="J88" s="60"/>
      <x:c r="K88" s="60"/>
      <x:c r="L88" s="60"/>
      <x:c r="M88" s="60"/>
      <x:c r="N88" s="60"/>
      <x:c r="O88" s="60" t="str">
        <x:v>Snapshot only — live RPC pull not run in this workbook</x:v>
      </x:c>
      <x:c r="P88" s="60" t="str">
        <x:v>Atropa snapshot 2025-02-27 / atropa-tokens JSON</x:v>
      </x:c>
    </x:row>
    <x:row r="89">
      <x:c r="A89" s="60" t="str">
        <x:v>𐒺𐓊𐣴𐓃𐒱</x:v>
      </x:c>
      <x:c r="B89" s="60" t="str">
        <x:v>克里姆林</x:v>
      </x:c>
      <x:c r="C89" s="60" t="str">
        <x:v>0x7F51FdB20246D7a673036f11C743E99A4AF01de0</x:v>
      </x:c>
      <x:c r="D89" s="67" t="n">
        <x:v>5555</x:v>
      </x:c>
      <x:c r="E89" s="67"/>
      <x:c r="F89" s="67"/>
      <x:c r="G89" s="67"/>
      <x:c r="H89" s="67"/>
      <x:c r="I89" s="67"/>
      <x:c r="J89" s="60"/>
      <x:c r="K89" s="60"/>
      <x:c r="L89" s="60"/>
      <x:c r="M89" s="60"/>
      <x:c r="N89" s="60"/>
      <x:c r="O89" s="60" t="str">
        <x:v>Snapshot only — live RPC pull not run in this workbook</x:v>
      </x:c>
      <x:c r="P89" s="60" t="str">
        <x:v>Atropa snapshot 2025-02-27 / atropa-tokens JSON</x:v>
      </x:c>
    </x:row>
    <x:row r="90">
      <x:c r="A90" s="60" t="str">
        <x:v>泽</x:v>
      </x:c>
      <x:c r="B90" s="60" t="str">
        <x:v>⑩</x:v>
      </x:c>
      <x:c r="C90" s="60" t="str">
        <x:v>0x3d67511733d976800467119264C3d4Cd9FA23041</x:v>
      </x:c>
      <x:c r="D90" s="67" t="n">
        <x:v>2</x:v>
      </x:c>
      <x:c r="E90" s="67"/>
      <x:c r="F90" s="67"/>
      <x:c r="G90" s="67"/>
      <x:c r="H90" s="67"/>
      <x:c r="I90" s="67"/>
      <x:c r="J90" s="60"/>
      <x:c r="K90" s="60"/>
      <x:c r="L90" s="60"/>
      <x:c r="M90" s="60"/>
      <x:c r="N90" s="60"/>
      <x:c r="O90" s="60" t="str">
        <x:v>Snapshot only — live RPC pull not run in this workbook</x:v>
      </x:c>
      <x:c r="P90" s="60" t="str">
        <x:v>Atropa snapshot 2025-02-27 / atropa-tokens JSON</x:v>
      </x:c>
    </x:row>
    <x:row r="91">
      <x:c r="A91" s="60" t="str">
        <x:v>Vatican City State</x:v>
      </x:c>
      <x:c r="B91" s="60" t="str">
        <x:v>FROCK</x:v>
      </x:c>
      <x:c r="C91" s="60" t="str">
        <x:v>0x8B8b26bB6C5fD4867339ab2f0acf3aE5129BD2F0</x:v>
      </x:c>
      <x:c r="D91" s="67" t="n">
        <x:v>2</x:v>
      </x:c>
      <x:c r="E91" s="67"/>
      <x:c r="F91" s="67"/>
      <x:c r="G91" s="67"/>
      <x:c r="H91" s="67"/>
      <x:c r="I91" s="67"/>
      <x:c r="J91" s="60"/>
      <x:c r="K91" s="60"/>
      <x:c r="L91" s="60"/>
      <x:c r="M91" s="60"/>
      <x:c r="N91" s="60"/>
      <x:c r="O91" s="60" t="str">
        <x:v>Snapshot only — live RPC pull not run in this workbook</x:v>
      </x:c>
      <x:c r="P91" s="60" t="str">
        <x:v>Atropa snapshot 2025-02-27 / atropa-tokens JSON</x:v>
      </x:c>
    </x:row>
    <x:row r="92">
      <x:c r="A92" s="60" t="str">
        <x:v>ΠΝΕΥΜΑ</x:v>
      </x:c>
      <x:c r="B92" s="60" t="str">
        <x:v>WAR</x:v>
      </x:c>
      <x:c r="C92" s="60" t="str">
        <x:v>0x32fe87852390332dAF169537f364F5642516DAad</x:v>
      </x:c>
      <x:c r="D92" s="67" t="n">
        <x:v>557.266414</x:v>
      </x:c>
      <x:c r="E92" s="67"/>
      <x:c r="F92" s="67"/>
      <x:c r="G92" s="67"/>
      <x:c r="H92" s="67"/>
      <x:c r="I92" s="67"/>
      <x:c r="J92" s="60"/>
      <x:c r="K92" s="60"/>
      <x:c r="L92" s="60"/>
      <x:c r="M92" s="60"/>
      <x:c r="N92" s="60"/>
      <x:c r="O92" s="60" t="str">
        <x:v>Snapshot only — live RPC pull not run in this workbook</x:v>
      </x:c>
      <x:c r="P92" s="60" t="str">
        <x:v>Atropa snapshot 2025-02-27 / atropa-tokens JSON</x:v>
      </x:c>
    </x:row>
    <x:row r="93">
      <x:c r="A93" s="60" t="str">
        <x:v>Zürich</x:v>
      </x:c>
      <x:c r="B93" s="60" t="str">
        <x:v>Zů</x:v>
      </x:c>
      <x:c r="C93" s="60" t="str">
        <x:v>0x583d1C1427308f7f96BFd3E0d7A3F9674D8BF8ec</x:v>
      </x:c>
      <x:c r="D93" s="67" t="n">
        <x:v>1312123130</x:v>
      </x:c>
      <x:c r="E93" s="67"/>
      <x:c r="F93" s="67"/>
      <x:c r="G93" s="67"/>
      <x:c r="H93" s="67"/>
      <x:c r="I93" s="67"/>
      <x:c r="J93" s="60"/>
      <x:c r="K93" s="60"/>
      <x:c r="L93" s="60"/>
      <x:c r="M93" s="60"/>
      <x:c r="N93" s="60"/>
      <x:c r="O93" s="60" t="str">
        <x:v>Snapshot only — live RPC pull not run in this workbook</x:v>
      </x:c>
      <x:c r="P93" s="60" t="str">
        <x:v>Atropa snapshot 2025-02-27 / atropa-tokens JSON</x:v>
      </x:c>
    </x:row>
    <x:row r="94">
      <x:c r="A94" s="60" t="str">
        <x:v>Hegemony</x:v>
      </x:c>
      <x:c r="B94" s="60" t="str">
        <x:v>عجթ</x:v>
      </x:c>
      <x:c r="C94" s="60" t="str">
        <x:v>0x51C36aA04ffC2139F6d34436d0EDC7f5ffc6D6Fb</x:v>
      </x:c>
      <x:c r="D94" s="67" t="n">
        <x:v>1312123130</x:v>
      </x:c>
      <x:c r="E94" s="67"/>
      <x:c r="F94" s="67"/>
      <x:c r="G94" s="67"/>
      <x:c r="H94" s="67"/>
      <x:c r="I94" s="67"/>
      <x:c r="J94" s="60"/>
      <x:c r="K94" s="60"/>
      <x:c r="L94" s="60"/>
      <x:c r="M94" s="60"/>
      <x:c r="N94" s="60"/>
      <x:c r="O94" s="60" t="str">
        <x:v>Snapshot only — live RPC pull not run in this workbook</x:v>
      </x:c>
      <x:c r="P94" s="60" t="str">
        <x:v>Atropa snapshot 2025-02-27 / atropa-tokens JSON</x:v>
      </x:c>
    </x:row>
    <x:row r="95">
      <x:c r="A95" s="60" t="str">
        <x:v>Tokenized Asset</x:v>
      </x:c>
      <x:c r="B95" s="60" t="str">
        <x:v>2srMJMLcyDg</x:v>
      </x:c>
      <x:c r="C95" s="60" t="str">
        <x:v>0xF4C5daBC4fdC3cA74262a8155c2f92f8875ff0Fe</x:v>
      </x:c>
      <x:c r="D95" s="67" t="n">
        <x:v>1312123130</x:v>
      </x:c>
      <x:c r="E95" s="67"/>
      <x:c r="F95" s="67"/>
      <x:c r="G95" s="67"/>
      <x:c r="H95" s="67"/>
      <x:c r="I95" s="67"/>
      <x:c r="J95" s="60"/>
      <x:c r="K95" s="60"/>
      <x:c r="L95" s="60"/>
      <x:c r="M95" s="60"/>
      <x:c r="N95" s="60"/>
      <x:c r="O95" s="60" t="str">
        <x:v>Snapshot only — live RPC pull not run in this workbook</x:v>
      </x:c>
      <x:c r="P95" s="60" t="str">
        <x:v>Atropa snapshot 2025-02-27 / atropa-tokens JSON</x:v>
      </x:c>
    </x:row>
    <x:row r="96">
      <x:c r="A96" s="60" t="str">
        <x:v>Tokenized Asset</x:v>
      </x:c>
      <x:c r="B96" s="60" t="str">
        <x:v>yjOz1IqBkQk</x:v>
      </x:c>
      <x:c r="C96" s="60" t="str">
        <x:v>0x7c4A08584ca8d889e87fc93331224BCb7947fE0c</x:v>
      </x:c>
      <x:c r="D96" s="67" t="n">
        <x:v>69</x:v>
      </x:c>
      <x:c r="E96" s="67"/>
      <x:c r="F96" s="67"/>
      <x:c r="G96" s="67"/>
      <x:c r="H96" s="67"/>
      <x:c r="I96" s="67"/>
      <x:c r="J96" s="60"/>
      <x:c r="K96" s="60"/>
      <x:c r="L96" s="60"/>
      <x:c r="M96" s="60"/>
      <x:c r="N96" s="60"/>
      <x:c r="O96" s="60" t="str">
        <x:v>Snapshot only — live RPC pull not run in this workbook</x:v>
      </x:c>
      <x:c r="P96" s="60" t="str">
        <x:v>Atropa snapshot 2025-02-27 / atropa-tokens JSON</x:v>
      </x:c>
    </x:row>
    <x:row r="97">
      <x:c r="A97" s="60" t="str">
        <x:v>Tokenized Asset</x:v>
      </x:c>
      <x:c r="B97" s="60" t="str">
        <x:v>Timestamp: 17:50</x:v>
      </x:c>
      <x:c r="C97" s="60" t="str">
        <x:v>0xCD775778F15FFf2fb43C0d8149cb888c099f0Ac1</x:v>
      </x:c>
      <x:c r="D97" s="67" t="n">
        <x:v>4</x:v>
      </x:c>
      <x:c r="E97" s="67"/>
      <x:c r="F97" s="67"/>
      <x:c r="G97" s="67"/>
      <x:c r="H97" s="67"/>
      <x:c r="I97" s="67"/>
      <x:c r="J97" s="60"/>
      <x:c r="K97" s="60"/>
      <x:c r="L97" s="60"/>
      <x:c r="M97" s="60"/>
      <x:c r="N97" s="60"/>
      <x:c r="O97" s="60" t="str">
        <x:v>Snapshot only — live RPC pull not run in this workbook</x:v>
      </x:c>
      <x:c r="P97" s="60" t="str">
        <x:v>Atropa snapshot 2025-02-27 / atropa-tokens JSON</x:v>
      </x:c>
    </x:row>
    <x:row r="98">
      <x:c r="A98" s="60" t="str">
        <x:v>YouTube ㉢</x:v>
      </x:c>
      <x:c r="B98" s="60" t="str">
        <x:v>YT ㉢</x:v>
      </x:c>
      <x:c r="C98" s="60" t="str">
        <x:v>0x296E797F481C15d6FE138ceA09Bda3A1c2869216</x:v>
      </x:c>
      <x:c r="D98" s="67" t="n">
        <x:v>1111111111</x:v>
      </x:c>
      <x:c r="E98" s="67"/>
      <x:c r="F98" s="67"/>
      <x:c r="G98" s="67"/>
      <x:c r="H98" s="67"/>
      <x:c r="I98" s="67"/>
      <x:c r="J98" s="60"/>
      <x:c r="K98" s="60"/>
      <x:c r="L98" s="60"/>
      <x:c r="M98" s="60"/>
      <x:c r="N98" s="60"/>
      <x:c r="O98" s="60" t="str">
        <x:v>Snapshot only — live RPC pull not run in this workbook</x:v>
      </x:c>
      <x:c r="P98" s="60" t="str">
        <x:v>Atropa snapshot 2025-02-27 / atropa-tokens JSON</x:v>
      </x:c>
    </x:row>
    <x:row r="99">
      <x:c r="A99" s="60" t="str">
        <x:v>Tokenized Asset</x:v>
      </x:c>
      <x:c r="B99" s="60" t="str">
        <x:v>WTkfg3LiJZA</x:v>
      </x:c>
      <x:c r="C99" s="60" t="str">
        <x:v>0xd2d26E25Ab8753fF60fA430CF7B7D685752879be</x:v>
      </x:c>
      <x:c r="D99" s="67" t="n">
        <x:v>1</x:v>
      </x:c>
      <x:c r="E99" s="67"/>
      <x:c r="F99" s="67"/>
      <x:c r="G99" s="67"/>
      <x:c r="H99" s="67"/>
      <x:c r="I99" s="67"/>
      <x:c r="J99" s="60"/>
      <x:c r="K99" s="60"/>
      <x:c r="L99" s="60"/>
      <x:c r="M99" s="60"/>
      <x:c r="N99" s="60"/>
      <x:c r="O99" s="60" t="str">
        <x:v>Snapshot only — live RPC pull not run in this workbook</x:v>
      </x:c>
      <x:c r="P99" s="60" t="str">
        <x:v>Atropa snapshot 2025-02-27 / atropa-tokens JSON</x:v>
      </x:c>
    </x:row>
    <x:row r="100">
      <x:c r="A100" s="60" t="str">
        <x:v>Tokenized Asset</x:v>
      </x:c>
      <x:c r="B100" s="60" t="str">
        <x:v>99-W690JMUo</x:v>
      </x:c>
      <x:c r="C100" s="60" t="str">
        <x:v>0xF3352be5de1e6232755C7dbd15a84FC3614a419c</x:v>
      </x:c>
      <x:c r="D100" s="67" t="n">
        <x:v>100</x:v>
      </x:c>
      <x:c r="E100" s="67"/>
      <x:c r="F100" s="67"/>
      <x:c r="G100" s="67"/>
      <x:c r="H100" s="67"/>
      <x:c r="I100" s="67"/>
      <x:c r="J100" s="60"/>
      <x:c r="K100" s="60"/>
      <x:c r="L100" s="60"/>
      <x:c r="M100" s="60"/>
      <x:c r="N100" s="60"/>
      <x:c r="O100" s="60" t="str">
        <x:v>Snapshot only — live RPC pull not run in this workbook</x:v>
      </x:c>
      <x:c r="P100" s="60" t="str">
        <x:v>Atropa snapshot 2025-02-27 / atropa-tokens JSON</x:v>
      </x:c>
    </x:row>
    <x:row r="101">
      <x:c r="A101" s="60" t="str">
        <x:v>LOAN</x:v>
      </x:c>
      <x:c r="B101" s="60" t="str">
        <x:v>瀈</x:v>
      </x:c>
      <x:c r="C101" s="60" t="str">
        <x:v>0x53Ccc8D706b1D2add9058BC12FF0875f378Ee099</x:v>
      </x:c>
      <x:c r="D101" s="67" t="n">
        <x:v>5.789604461865809</x:v>
      </x:c>
      <x:c r="E101" s="67"/>
      <x:c r="F101" s="67"/>
      <x:c r="G101" s="67"/>
      <x:c r="H101" s="67"/>
      <x:c r="I101" s="67"/>
      <x:c r="J101" s="60"/>
      <x:c r="K101" s="60"/>
      <x:c r="L101" s="60"/>
      <x:c r="M101" s="60"/>
      <x:c r="N101" s="60"/>
      <x:c r="O101" s="60" t="str">
        <x:v>Snapshot only — live RPC pull not run in this workbook</x:v>
      </x:c>
      <x:c r="P101" s="60" t="str">
        <x:v>Atropa snapshot 2025-02-27 / atropa-tokens JSON</x:v>
      </x:c>
    </x:row>
    <x:row r="102">
      <x:c r="A102" s="60" t="str">
        <x:v>LOAN</x:v>
      </x:c>
      <x:c r="B102" s="60" t="str">
        <x:v>瀈</x:v>
      </x:c>
      <x:c r="C102" s="60" t="str">
        <x:v>0xeE67825eF27588FAeE39cfefb465eB0A242A740c</x:v>
      </x:c>
      <x:c r="D102" s="67" t="n">
        <x:v>3.618502788666131</x:v>
      </x:c>
      <x:c r="E102" s="67"/>
      <x:c r="F102" s="67"/>
      <x:c r="G102" s="67"/>
      <x:c r="H102" s="67"/>
      <x:c r="I102" s="67"/>
      <x:c r="J102" s="60"/>
      <x:c r="K102" s="60"/>
      <x:c r="L102" s="60"/>
      <x:c r="M102" s="60"/>
      <x:c r="N102" s="60"/>
      <x:c r="O102" s="60" t="str">
        <x:v>Snapshot only — live RPC pull not run in this workbook</x:v>
      </x:c>
      <x:c r="P102" s="60" t="str">
        <x:v>Atropa snapshot 2025-02-27 / atropa-tokens JSON</x:v>
      </x:c>
    </x:row>
    <x:row r="103">
      <x:c r="A103" s="60" t="str">
        <x:v>FREEBIES</x:v>
      </x:c>
      <x:c r="B103" s="60" t="str">
        <x:v>Massacre Freebies ?</x:v>
      </x:c>
      <x:c r="C103" s="60" t="str">
        <x:v>0x48F628c079353ECC4DB75F0d05de9299e083f3C2</x:v>
      </x:c>
      <x:c r="D103" s="67" t="n">
        <x:v>953467954114363</x:v>
      </x:c>
      <x:c r="E103" s="67"/>
      <x:c r="F103" s="67"/>
      <x:c r="G103" s="67"/>
      <x:c r="H103" s="67"/>
      <x:c r="I103" s="67"/>
      <x:c r="J103" s="60"/>
      <x:c r="K103" s="60"/>
      <x:c r="L103" s="60"/>
      <x:c r="M103" s="60"/>
      <x:c r="N103" s="60"/>
      <x:c r="O103" s="60" t="str">
        <x:v>Snapshot only — live RPC pull not run in this workbook</x:v>
      </x:c>
      <x:c r="P103" s="60" t="str">
        <x:v>Atropa snapshot 2025-02-27 / atropa-tokens JSON</x:v>
      </x:c>
    </x:row>
    <x:row r="104">
      <x:c r="A104" s="60" t="str">
        <x:v>JAMES COOK</x:v>
      </x:c>
      <x:c r="B104" s="60" t="str">
        <x:v>صك</x:v>
      </x:c>
      <x:c r="C104" s="60" t="str">
        <x:v>0x72f96a39AC9408b5458E5597BBC22060552dedF4</x:v>
      </x:c>
      <x:c r="D104" s="67" t="n">
        <x:v>5000000</x:v>
      </x:c>
      <x:c r="E104" s="67"/>
      <x:c r="F104" s="67"/>
      <x:c r="G104" s="67"/>
      <x:c r="H104" s="67"/>
      <x:c r="I104" s="67"/>
      <x:c r="J104" s="60"/>
      <x:c r="K104" s="60"/>
      <x:c r="L104" s="60"/>
      <x:c r="M104" s="60"/>
      <x:c r="N104" s="60"/>
      <x:c r="O104" s="60" t="str">
        <x:v>Snapshot only — live RPC pull not run in this workbook</x:v>
      </x:c>
      <x:c r="P104" s="60" t="str">
        <x:v>Atropa snapshot 2025-02-27 / atropa-tokens JSON</x:v>
      </x:c>
    </x:row>
    <x:row r="105">
      <x:c r="A105" s="60" t="str">
        <x:v>הח'נרך</x:v>
      </x:c>
      <x:c r="B105" s="60" t="str">
        <x:v>ףקשן</x:v>
      </x:c>
      <x:c r="C105" s="60" t="str">
        <x:v>0x4a458D04909a42F79d31805762B2abc38ab9407d</x:v>
      </x:c>
      <x:c r="D105" s="67" t="n">
        <x:v>530</x:v>
      </x:c>
      <x:c r="E105" s="67"/>
      <x:c r="F105" s="67"/>
      <x:c r="G105" s="67"/>
      <x:c r="H105" s="67"/>
      <x:c r="I105" s="67"/>
      <x:c r="J105" s="60"/>
      <x:c r="K105" s="60"/>
      <x:c r="L105" s="60"/>
      <x:c r="M105" s="60"/>
      <x:c r="N105" s="60"/>
      <x:c r="O105" s="60" t="str">
        <x:v>Snapshot only — live RPC pull not run in this workbook</x:v>
      </x:c>
      <x:c r="P105" s="60" t="str">
        <x:v>Atropa snapshot 2025-02-27 / atropa-tokens JSON</x:v>
      </x:c>
    </x:row>
    <x:row r="106">
      <x:c r="A106" s="60" t="str">
        <x:v>רבנישע וויסנשאפט</x:v>
      </x:c>
      <x:c r="B106" s="60" t="str">
        <x:v>רב</x:v>
      </x:c>
      <x:c r="C106" s="60" t="str">
        <x:v>0x89E8cD6306AbbAB8e39eeD0D53566d8dC2E02c01</x:v>
      </x:c>
      <x:c r="D106" s="67" t="n">
        <x:v>999</x:v>
      </x:c>
      <x:c r="E106" s="67"/>
      <x:c r="F106" s="67"/>
      <x:c r="G106" s="67"/>
      <x:c r="H106" s="67"/>
      <x:c r="I106" s="67"/>
      <x:c r="J106" s="60"/>
      <x:c r="K106" s="60"/>
      <x:c r="L106" s="60"/>
      <x:c r="M106" s="60"/>
      <x:c r="N106" s="60"/>
      <x:c r="O106" s="60" t="str">
        <x:v>Snapshot only — live RPC pull not run in this workbook</x:v>
      </x:c>
      <x:c r="P106" s="60" t="str">
        <x:v>Atropa snapshot 2025-02-27 / atropa-tokens JSON</x:v>
      </x:c>
    </x:row>
    <x:row r="107">
      <x:c r="A107" s="60" t="str">
        <x:v>TRAEGER</x:v>
      </x:c>
      <x:c r="B107" s="60" t="str">
        <x:v>GRILL</x:v>
      </x:c>
      <x:c r="C107" s="60" t="str">
        <x:v>0x72aE7a4DCBef4bFdE425c9A1811446fFCc29166E</x:v>
      </x:c>
      <x:c r="D107" s="67" t="n">
        <x:v>666</x:v>
      </x:c>
      <x:c r="E107" s="67"/>
      <x:c r="F107" s="67"/>
      <x:c r="G107" s="67"/>
      <x:c r="H107" s="67"/>
      <x:c r="I107" s="67"/>
      <x:c r="J107" s="60"/>
      <x:c r="K107" s="60"/>
      <x:c r="L107" s="60"/>
      <x:c r="M107" s="60"/>
      <x:c r="N107" s="60"/>
      <x:c r="O107" s="60" t="str">
        <x:v>Snapshot only — live RPC pull not run in this workbook</x:v>
      </x:c>
      <x:c r="P107" s="60" t="str">
        <x:v>Atropa snapshot 2025-02-27 / atropa-tokens JSON</x:v>
      </x:c>
    </x:row>
    <x:row r="108">
      <x:c r="A108" s="60" t="str">
        <x:v>𝀉𝀊𝀓𝀸</x:v>
      </x:c>
      <x:c r="B108" s="60" t="str">
        <x:v>𝀧</x:v>
      </x:c>
      <x:c r="C108" s="60" t="str">
        <x:v>0x953A5f4D1f09D4108A89f7dA4E52A4d7d7d12dd5</x:v>
      </x:c>
      <x:c r="D108" s="67" t="n">
        <x:v>666</x:v>
      </x:c>
      <x:c r="E108" s="67"/>
      <x:c r="F108" s="67"/>
      <x:c r="G108" s="67"/>
      <x:c r="H108" s="67"/>
      <x:c r="I108" s="67"/>
      <x:c r="J108" s="60"/>
      <x:c r="K108" s="60"/>
      <x:c r="L108" s="60"/>
      <x:c r="M108" s="60"/>
      <x:c r="N108" s="60"/>
      <x:c r="O108" s="60" t="str">
        <x:v>Snapshot only — live RPC pull not run in this workbook</x:v>
      </x:c>
      <x:c r="P108" s="60" t="str">
        <x:v>Atropa snapshot 2025-02-27 / atropa-tokens JSON</x:v>
      </x:c>
    </x:row>
    <x:row r="109">
      <x:c r="A109" s="60" t="str">
        <x:v>Large Comfy Chair</x:v>
      </x:c>
      <x:c r="B109" s="60" t="str">
        <x:v>LCC</x:v>
      </x:c>
      <x:c r="C109" s="60" t="str">
        <x:v>0xff3922Fc24c99960c7A4319f62DB23769a57DAb8</x:v>
      </x:c>
      <x:c r="D109" s="67" t="n">
        <x:v>666</x:v>
      </x:c>
      <x:c r="E109" s="67"/>
      <x:c r="F109" s="67"/>
      <x:c r="G109" s="67"/>
      <x:c r="H109" s="67"/>
      <x:c r="I109" s="67"/>
      <x:c r="J109" s="60"/>
      <x:c r="K109" s="60"/>
      <x:c r="L109" s="60"/>
      <x:c r="M109" s="60"/>
      <x:c r="N109" s="60"/>
      <x:c r="O109" s="60" t="str">
        <x:v>Snapshot only — live RPC pull not run in this workbook</x:v>
      </x:c>
      <x:c r="P109" s="60" t="str">
        <x:v>Atropa snapshot 2025-02-27 / atropa-tokens JSON</x:v>
      </x:c>
    </x:row>
    <x:row r="110">
      <x:c r="A110" s="60" t="str">
        <x:v>𐴑𐴤𐴇𐴥𐴡𐴦𐴚Ϗϖϟ</x:v>
      </x:c>
      <x:c r="B110" s="60" t="str">
        <x:v>薙刀術ϟϟ</x:v>
      </x:c>
      <x:c r="C110" s="60" t="str">
        <x:v>0xE0f0ba6627Af89A7eD1d887D1cDDcCCd8D79AE11</x:v>
      </x:c>
      <x:c r="D110" s="67" t="n">
        <x:v>666</x:v>
      </x:c>
      <x:c r="E110" s="67"/>
      <x:c r="F110" s="67"/>
      <x:c r="G110" s="67"/>
      <x:c r="H110" s="67"/>
      <x:c r="I110" s="67"/>
      <x:c r="J110" s="60"/>
      <x:c r="K110" s="60"/>
      <x:c r="L110" s="60"/>
      <x:c r="M110" s="60"/>
      <x:c r="N110" s="60"/>
      <x:c r="O110" s="60" t="str">
        <x:v>Snapshot only — live RPC pull not run in this workbook</x:v>
      </x:c>
      <x:c r="P110" s="60" t="str">
        <x:v>Atropa snapshot 2025-02-27 / atropa-tokens JSON</x:v>
      </x:c>
    </x:row>
    <x:row r="111">
      <x:c r="A111" s="60" t="str">
        <x:v>ꗫꗧꗹꗑ</x:v>
      </x:c>
      <x:c r="B111" s="60" t="str">
        <x:v>ꗣꗣꗣ</x:v>
      </x:c>
      <x:c r="C111" s="60" t="str">
        <x:v>0xC15F11fF2765C2614c8360401606feEBdB472974</x:v>
      </x:c>
      <x:c r="D111" s="67" t="n">
        <x:v>666</x:v>
      </x:c>
      <x:c r="E111" s="67"/>
      <x:c r="F111" s="67"/>
      <x:c r="G111" s="67"/>
      <x:c r="H111" s="67"/>
      <x:c r="I111" s="67"/>
      <x:c r="J111" s="60"/>
      <x:c r="K111" s="60"/>
      <x:c r="L111" s="60"/>
      <x:c r="M111" s="60"/>
      <x:c r="N111" s="60"/>
      <x:c r="O111" s="60" t="str">
        <x:v>Snapshot only — live RPC pull not run in this workbook</x:v>
      </x:c>
      <x:c r="P111" s="60" t="str">
        <x:v>Atropa snapshot 2025-02-27 / atropa-tokens JSON</x:v>
      </x:c>
    </x:row>
    <x:row r="112">
      <x:c r="A112" s="60" t="str">
        <x:v>ᝮᝲCreationsᝣᝪᝳOfᝣᝪᝳTagᝰᝲ</x:v>
      </x:c>
      <x:c r="B112" s="60" t="str">
        <x:v>ᝢ</x:v>
      </x:c>
      <x:c r="C112" s="60" t="str">
        <x:v>0x93335cfF017c0FD28FBc58971C9fFC78FEa12081</x:v>
      </x:c>
      <x:c r="D112" s="67" t="n">
        <x:v>666</x:v>
      </x:c>
      <x:c r="E112" s="67"/>
      <x:c r="F112" s="67"/>
      <x:c r="G112" s="67"/>
      <x:c r="H112" s="67"/>
      <x:c r="I112" s="67"/>
      <x:c r="J112" s="60"/>
      <x:c r="K112" s="60"/>
      <x:c r="L112" s="60"/>
      <x:c r="M112" s="60"/>
      <x:c r="N112" s="60"/>
      <x:c r="O112" s="60" t="str">
        <x:v>Snapshot only — live RPC pull not run in this workbook</x:v>
      </x:c>
      <x:c r="P112" s="60" t="str">
        <x:v>Atropa snapshot 2025-02-27 / atropa-tokens JSON</x:v>
      </x:c>
    </x:row>
    <x:row r="113">
      <x:c r="A113" s="60" t="str">
        <x:v>ป๊าีก๋ท่าืงืะ</x:v>
      </x:c>
      <x:c r="B113" s="60" t="str">
        <x:v>ࡎࡈࡋ࡙ࡖ</x:v>
      </x:c>
      <x:c r="C113" s="60" t="str">
        <x:v>0x3c5B8de790304069B44354a4446A4c37682f542b</x:v>
      </x:c>
      <x:c r="D113" s="67" t="n">
        <x:v>666</x:v>
      </x:c>
      <x:c r="E113" s="67"/>
      <x:c r="F113" s="67"/>
      <x:c r="G113" s="67"/>
      <x:c r="H113" s="67"/>
      <x:c r="I113" s="67"/>
      <x:c r="J113" s="60"/>
      <x:c r="K113" s="60"/>
      <x:c r="L113" s="60"/>
      <x:c r="M113" s="60"/>
      <x:c r="N113" s="60"/>
      <x:c r="O113" s="60" t="str">
        <x:v>Snapshot only — live RPC pull not run in this workbook</x:v>
      </x:c>
      <x:c r="P113" s="60" t="str">
        <x:v>Atropa snapshot 2025-02-27 / atropa-tokens JSON</x:v>
      </x:c>
    </x:row>
    <x:row r="114">
      <x:c r="A114" s="60" t="str">
        <x:v>ᤍᤣ ᤔᤡᤴ ᤈᤘᤠ</x:v>
      </x:c>
      <x:c r="B114" s="60" t="str">
        <x:v>United States President James K Polk</x:v>
      </x:c>
      <x:c r="C114" s="60" t="str">
        <x:v>0xD734705875C29Bc84Fb9C88435f334fbEcf76D11</x:v>
      </x:c>
      <x:c r="D114" s="67" t="n">
        <x:v>666</x:v>
      </x:c>
      <x:c r="E114" s="67"/>
      <x:c r="F114" s="67"/>
      <x:c r="G114" s="67"/>
      <x:c r="H114" s="67"/>
      <x:c r="I114" s="67"/>
      <x:c r="J114" s="60"/>
      <x:c r="K114" s="60"/>
      <x:c r="L114" s="60"/>
      <x:c r="M114" s="60"/>
      <x:c r="N114" s="60"/>
      <x:c r="O114" s="60" t="str">
        <x:v>Snapshot only — live RPC pull not run in this workbook</x:v>
      </x:c>
      <x:c r="P114" s="60" t="str">
        <x:v>Atropa snapshot 2025-02-27 / atropa-tokens JSON</x:v>
      </x:c>
    </x:row>
    <x:row r="115">
      <x:c r="A115" s="60" t="str">
        <x:v>䈗</x:v>
      </x:c>
      <x:c r="B115" s="60" t="str">
        <x:v>WELT</x:v>
      </x:c>
      <x:c r="C115" s="60" t="str">
        <x:v>0xF7EF7188ca663bab6B7b72eC5dF79A048FD8BA25</x:v>
      </x:c>
      <x:c r="D115" s="67" t="n">
        <x:v>666</x:v>
      </x:c>
      <x:c r="E115" s="67"/>
      <x:c r="F115" s="67"/>
      <x:c r="G115" s="67"/>
      <x:c r="H115" s="67"/>
      <x:c r="I115" s="67"/>
      <x:c r="J115" s="60"/>
      <x:c r="K115" s="60"/>
      <x:c r="L115" s="60"/>
      <x:c r="M115" s="60"/>
      <x:c r="N115" s="60"/>
      <x:c r="O115" s="60" t="str">
        <x:v>Snapshot only — live RPC pull not run in this workbook</x:v>
      </x:c>
      <x:c r="P115" s="60" t="str">
        <x:v>Atropa snapshot 2025-02-27 / atropa-tokens JSON</x:v>
      </x:c>
    </x:row>
    <x:row r="116">
      <x:c r="A116" s="60" t="str">
        <x:v>𐨗𐨁𐨞𐨐𐨮 𐨥𐨵𐨫𐨐𐨅𐨣𐨧𐨃𐨒</x:v>
      </x:c>
      <x:c r="B116" s="60" t="str">
        <x:v>BRAUN</x:v>
      </x:c>
      <x:c r="C116" s="60" t="str">
        <x:v>0xD9278476796B0998B61A708921d835501D689203</x:v>
      </x:c>
      <x:c r="D116" s="67" t="n">
        <x:v>666</x:v>
      </x:c>
      <x:c r="E116" s="67"/>
      <x:c r="F116" s="67"/>
      <x:c r="G116" s="67"/>
      <x:c r="H116" s="67"/>
      <x:c r="I116" s="67"/>
      <x:c r="J116" s="60"/>
      <x:c r="K116" s="60"/>
      <x:c r="L116" s="60"/>
      <x:c r="M116" s="60"/>
      <x:c r="N116" s="60"/>
      <x:c r="O116" s="60" t="str">
        <x:v>Snapshot only — live RPC pull not run in this workbook</x:v>
      </x:c>
      <x:c r="P116" s="60" t="str">
        <x:v>Atropa snapshot 2025-02-27 / atropa-tokens JSON</x:v>
      </x:c>
    </x:row>
    <x:row r="117">
      <x:c r="A117" s="60" t="str">
        <x:v>United States Constitution</x:v>
      </x:c>
      <x:c r="B117" s="60" t="str">
        <x:v>ᒠ1ᒠ6ᒠ7</x:v>
      </x:c>
      <x:c r="C117" s="60" t="str">
        <x:v>0x379877Af60547140caD225457CA226c8a3Cc8c67</x:v>
      </x:c>
      <x:c r="D117" s="67" t="n">
        <x:v>666</x:v>
      </x:c>
      <x:c r="E117" s="67"/>
      <x:c r="F117" s="67"/>
      <x:c r="G117" s="67"/>
      <x:c r="H117" s="67"/>
      <x:c r="I117" s="67"/>
      <x:c r="J117" s="60"/>
      <x:c r="K117" s="60"/>
      <x:c r="L117" s="60"/>
      <x:c r="M117" s="60"/>
      <x:c r="N117" s="60"/>
      <x:c r="O117" s="60" t="str">
        <x:v>Snapshot only — live RPC pull not run in this workbook</x:v>
      </x:c>
      <x:c r="P117" s="60" t="str">
        <x:v>Atropa snapshot 2025-02-27 / atropa-tokens JSON</x:v>
      </x:c>
    </x:row>
    <x:row r="118">
      <x:c r="A118" s="60" t="str">
        <x:v>ACCOUNT</x:v>
      </x:c>
      <x:c r="B118" s="60" t="str">
        <x:v>ᒹAᒴ1ᒱ0</x:v>
      </x:c>
      <x:c r="C118" s="60" t="str">
        <x:v>0x283a7e68DBB4d26Cb3878CA9084ed3d0e45cF5C5</x:v>
      </x:c>
      <x:c r="D118" s="67" t="n">
        <x:v>666</x:v>
      </x:c>
      <x:c r="E118" s="67"/>
      <x:c r="F118" s="67"/>
      <x:c r="G118" s="67"/>
      <x:c r="H118" s="67"/>
      <x:c r="I118" s="67"/>
      <x:c r="J118" s="60"/>
      <x:c r="K118" s="60"/>
      <x:c r="L118" s="60"/>
      <x:c r="M118" s="60"/>
      <x:c r="N118" s="60"/>
      <x:c r="O118" s="60" t="str">
        <x:v>Snapshot only — live RPC pull not run in this workbook</x:v>
      </x:c>
      <x:c r="P118" s="60" t="str">
        <x:v>Atropa snapshot 2025-02-27 / atropa-tokens JSON</x:v>
      </x:c>
    </x:row>
    <x:row r="119">
      <x:c r="A119" s="60" t="str">
        <x:v>CODE</x:v>
      </x:c>
      <x:c r="B119" s="60" t="str">
        <x:v>᐀3</x:v>
      </x:c>
      <x:c r="C119" s="60" t="str">
        <x:v>0xbA5BcC299895b77D67F660962575b427b341Bb88</x:v>
      </x:c>
      <x:c r="D119" s="67" t="n">
        <x:v>666</x:v>
      </x:c>
      <x:c r="E119" s="67"/>
      <x:c r="F119" s="67"/>
      <x:c r="G119" s="67"/>
      <x:c r="H119" s="67"/>
      <x:c r="I119" s="67"/>
      <x:c r="J119" s="60"/>
      <x:c r="K119" s="60"/>
      <x:c r="L119" s="60"/>
      <x:c r="M119" s="60"/>
      <x:c r="N119" s="60"/>
      <x:c r="O119" s="60" t="str">
        <x:v>Snapshot only — live RPC pull not run in this workbook</x:v>
      </x:c>
      <x:c r="P119" s="60" t="str">
        <x:v>Atropa snapshot 2025-02-27 / atropa-tokens JSON</x:v>
      </x:c>
    </x:row>
    <x:row r="120">
      <x:c r="A120" s="60" t="str">
        <x:v>irc.debian.org#pulsechain</x:v>
      </x:c>
      <x:c r="B120" s="60" t="str">
        <x:v>IRC</x:v>
      </x:c>
      <x:c r="C120" s="60" t="str">
        <x:v>0xD64f26Bcf78df919D587b6743fcFf5b155815bd6</x:v>
      </x:c>
      <x:c r="D120" s="67" t="n">
        <x:v>666</x:v>
      </x:c>
      <x:c r="E120" s="67"/>
      <x:c r="F120" s="67"/>
      <x:c r="G120" s="67"/>
      <x:c r="H120" s="67"/>
      <x:c r="I120" s="67"/>
      <x:c r="J120" s="60"/>
      <x:c r="K120" s="60"/>
      <x:c r="L120" s="60"/>
      <x:c r="M120" s="60"/>
      <x:c r="N120" s="60"/>
      <x:c r="O120" s="60" t="str">
        <x:v>Snapshot only — live RPC pull not run in this workbook</x:v>
      </x:c>
      <x:c r="P120" s="60" t="str">
        <x:v>Atropa snapshot 2025-02-27 / atropa-tokens JSON</x:v>
      </x:c>
    </x:row>
    <x:row r="121">
      <x:c r="A121" s="60" t="str">
        <x:v>ਲ</x:v>
      </x:c>
      <x:c r="B121" s="60" t="str">
        <x:v>ਓੰਫਃਙ਼ੌਘਁ</x:v>
      </x:c>
      <x:c r="C121" s="60" t="str">
        <x:v>0x0EB4EE7d5Ff28cbF68565A174f7E5e186c36B4b3</x:v>
      </x:c>
      <x:c r="D121" s="67" t="n">
        <x:v>1</x:v>
      </x:c>
      <x:c r="E121" s="67"/>
      <x:c r="F121" s="67"/>
      <x:c r="G121" s="67"/>
      <x:c r="H121" s="67"/>
      <x:c r="I121" s="67"/>
      <x:c r="J121" s="60"/>
      <x:c r="K121" s="60"/>
      <x:c r="L121" s="60"/>
      <x:c r="M121" s="60"/>
      <x:c r="N121" s="60"/>
      <x:c r="O121" s="60" t="str">
        <x:v>Snapshot only — live RPC pull not run in this workbook</x:v>
      </x:c>
      <x:c r="P121" s="60" t="str">
        <x:v>Atropa snapshot 2025-02-27 / atropa-tokens JSON</x:v>
      </x:c>
    </x:row>
    <x:row r="122">
      <x:c r="A122" s="60" t="str">
        <x:v>Conrad Ferdinand Meyer</x:v>
      </x:c>
      <x:c r="B122" s="60" t="str">
        <x:v>666.0</x:v>
      </x:c>
      <x:c r="C122" s="60" t="str">
        <x:v>0xea0a3AE400B3F5657F865adEb705804c5D96294c</x:v>
      </x:c>
      <x:c r="D122" s="67" t="n">
        <x:v>666</x:v>
      </x:c>
      <x:c r="E122" s="67"/>
      <x:c r="F122" s="67"/>
      <x:c r="G122" s="67"/>
      <x:c r="H122" s="67"/>
      <x:c r="I122" s="67"/>
      <x:c r="J122" s="60"/>
      <x:c r="K122" s="60"/>
      <x:c r="L122" s="60"/>
      <x:c r="M122" s="60"/>
      <x:c r="N122" s="60"/>
      <x:c r="O122" s="60" t="str">
        <x:v>Snapshot only — live RPC pull not run in this workbook</x:v>
      </x:c>
      <x:c r="P122" s="60" t="str">
        <x:v>Atropa snapshot 2025-02-27 / atropa-tokens JSON</x:v>
      </x:c>
    </x:row>
    <x:row r="123">
      <x:c r="A123" s="60" t="str">
        <x:v>Bhutan 👑</x:v>
      </x:c>
      <x:c r="B123" s="60" t="str">
        <x:v>ΦΓΔ</x:v>
      </x:c>
      <x:c r="C123" s="60" t="str">
        <x:v>0x37BC2807DD055c4bC85dd954A2ffa72e6857a110</x:v>
      </x:c>
      <x:c r="D123" s="67" t="n">
        <x:v>666</x:v>
      </x:c>
      <x:c r="E123" s="67"/>
      <x:c r="F123" s="67"/>
      <x:c r="G123" s="67"/>
      <x:c r="H123" s="67"/>
      <x:c r="I123" s="67"/>
      <x:c r="J123" s="60"/>
      <x:c r="K123" s="60"/>
      <x:c r="L123" s="60"/>
      <x:c r="M123" s="60"/>
      <x:c r="N123" s="60"/>
      <x:c r="O123" s="60" t="str">
        <x:v>Snapshot only — live RPC pull not run in this workbook</x:v>
      </x:c>
      <x:c r="P123" s="60" t="str">
        <x:v>Atropa snapshot 2025-02-27 / atropa-tokens JSON</x:v>
      </x:c>
    </x:row>
    <x:row r="124">
      <x:c r="A124" s="60" t="str">
        <x:v>One Time Pass</x:v>
      </x:c>
      <x:c r="B124" s="60" t="str">
        <x:v>OTP</x:v>
      </x:c>
      <x:c r="C124" s="60" t="str">
        <x:v>0x50211Aa4D3d4880B5B80F683e27Dd185e11C306C</x:v>
      </x:c>
      <x:c r="D124" s="67" t="n">
        <x:v>0</x:v>
      </x:c>
      <x:c r="E124" s="67"/>
      <x:c r="F124" s="67"/>
      <x:c r="G124" s="67"/>
      <x:c r="H124" s="67"/>
      <x:c r="I124" s="67"/>
      <x:c r="J124" s="60"/>
      <x:c r="K124" s="60"/>
      <x:c r="L124" s="60"/>
      <x:c r="M124" s="60"/>
      <x:c r="N124" s="60"/>
      <x:c r="O124" s="60" t="str">
        <x:v>Snapshot only — live RPC pull not run in this workbook</x:v>
      </x:c>
      <x:c r="P124" s="60" t="str">
        <x:v>Atropa snapshot 2025-02-27 / atropa-tokens JSON</x:v>
      </x:c>
    </x:row>
    <x:row r="125">
      <x:c r="A125" s="60" t="str">
        <x:v>One Time Pass</x:v>
      </x:c>
      <x:c r="B125" s="60" t="str">
        <x:v>OTP</x:v>
      </x:c>
      <x:c r="C125" s="60" t="str">
        <x:v>0x85b22505fD17a9C5003Cd48476c7BC61Da522445</x:v>
      </x:c>
      <x:c r="D125" s="67" t="n">
        <x:v>0</x:v>
      </x:c>
      <x:c r="E125" s="67"/>
      <x:c r="F125" s="67"/>
      <x:c r="G125" s="67"/>
      <x:c r="H125" s="67"/>
      <x:c r="I125" s="67"/>
      <x:c r="J125" s="60"/>
      <x:c r="K125" s="60"/>
      <x:c r="L125" s="60"/>
      <x:c r="M125" s="60"/>
      <x:c r="N125" s="60"/>
      <x:c r="O125" s="60" t="str">
        <x:v>Snapshot only — live RPC pull not run in this workbook</x:v>
      </x:c>
      <x:c r="P125" s="60" t="str">
        <x:v>Atropa snapshot 2025-02-27 / atropa-tokens JSON</x:v>
      </x:c>
    </x:row>
    <x:row r="126">
      <x:c r="A126" s="60" t="str">
        <x:v>One Time Pass</x:v>
      </x:c>
      <x:c r="B126" s="60" t="str">
        <x:v>OTP</x:v>
      </x:c>
      <x:c r="C126" s="60" t="str">
        <x:v>0xB30099ee83FE52cD80fF37F7808e1EedE0830122</x:v>
      </x:c>
      <x:c r="D126" s="67" t="n">
        <x:v>0</x:v>
      </x:c>
      <x:c r="E126" s="67"/>
      <x:c r="F126" s="67"/>
      <x:c r="G126" s="67"/>
      <x:c r="H126" s="67"/>
      <x:c r="I126" s="67"/>
      <x:c r="J126" s="60"/>
      <x:c r="K126" s="60"/>
      <x:c r="L126" s="60"/>
      <x:c r="M126" s="60"/>
      <x:c r="N126" s="60"/>
      <x:c r="O126" s="60" t="str">
        <x:v>Snapshot only — live RPC pull not run in this workbook</x:v>
      </x:c>
      <x:c r="P126" s="60" t="str">
        <x:v>Atropa snapshot 2025-02-27 / atropa-tokens JSON</x:v>
      </x:c>
    </x:row>
    <x:row r="127">
      <x:c r="A127" s="60" t="str">
        <x:v>One Time Pass</x:v>
      </x:c>
      <x:c r="B127" s="60" t="str">
        <x:v>OTP</x:v>
      </x:c>
      <x:c r="C127" s="60" t="str">
        <x:v>0x084B547a779F4ebC10aA3960459FF8C43c372255</x:v>
      </x:c>
      <x:c r="D127" s="67" t="n">
        <x:v>0</x:v>
      </x:c>
      <x:c r="E127" s="67"/>
      <x:c r="F127" s="67"/>
      <x:c r="G127" s="67"/>
      <x:c r="H127" s="67"/>
      <x:c r="I127" s="67"/>
      <x:c r="J127" s="60"/>
      <x:c r="K127" s="60"/>
      <x:c r="L127" s="60"/>
      <x:c r="M127" s="60"/>
      <x:c r="N127" s="60"/>
      <x:c r="O127" s="60" t="str">
        <x:v>Snapshot only — live RPC pull not run in this workbook</x:v>
      </x:c>
      <x:c r="P127" s="60" t="str">
        <x:v>Atropa snapshot 2025-02-27 / atropa-tokens JSON</x:v>
      </x:c>
    </x:row>
    <x:row r="128">
      <x:c r="A128" s="60" t="str">
        <x:v>One Time Pass Fake</x:v>
      </x:c>
      <x:c r="B128" s="60" t="str">
        <x:v>OTPF</x:v>
      </x:c>
      <x:c r="C128" s="60" t="str">
        <x:v>0x9A4bd1D5C231fb8BF9c242f517Ec3Bb174d6Ac60</x:v>
      </x:c>
      <x:c r="D128" s="67" t="n">
        <x:v>0</x:v>
      </x:c>
      <x:c r="E128" s="67"/>
      <x:c r="F128" s="67"/>
      <x:c r="G128" s="67"/>
      <x:c r="H128" s="67"/>
      <x:c r="I128" s="67"/>
      <x:c r="J128" s="60"/>
      <x:c r="K128" s="60"/>
      <x:c r="L128" s="60"/>
      <x:c r="M128" s="60"/>
      <x:c r="N128" s="60"/>
      <x:c r="O128" s="60" t="str">
        <x:v>Snapshot only — live RPC pull not run in this workbook</x:v>
      </x:c>
      <x:c r="P128" s="60" t="str">
        <x:v>Atropa snapshot 2025-02-27 / atropa-tokens JSON</x:v>
      </x:c>
    </x:row>
    <x:row r="129">
      <x:c r="A129" s="60" t="str">
        <x:v>One Time Pass Fake</x:v>
      </x:c>
      <x:c r="B129" s="60" t="str">
        <x:v>OTPF</x:v>
      </x:c>
      <x:c r="C129" s="60" t="str">
        <x:v>0x8b8d5A3B5dFe072F10ff928Bb28fb2036b31A6b1</x:v>
      </x:c>
      <x:c r="D129" s="67" t="n">
        <x:v>0</x:v>
      </x:c>
      <x:c r="E129" s="67"/>
      <x:c r="F129" s="67"/>
      <x:c r="G129" s="67"/>
      <x:c r="H129" s="67"/>
      <x:c r="I129" s="67"/>
      <x:c r="J129" s="60"/>
      <x:c r="K129" s="60"/>
      <x:c r="L129" s="60"/>
      <x:c r="M129" s="60"/>
      <x:c r="N129" s="60"/>
      <x:c r="O129" s="60" t="str">
        <x:v>Snapshot only — live RPC pull not run in this workbook</x:v>
      </x:c>
      <x:c r="P129" s="60" t="str">
        <x:v>Atropa snapshot 2025-02-27 / atropa-tokens JSON</x:v>
      </x:c>
    </x:row>
    <x:row r="130">
      <x:c r="A130" s="60" t="str">
        <x:v>One Time Pass Fake</x:v>
      </x:c>
      <x:c r="B130" s="60" t="str">
        <x:v>OTPF</x:v>
      </x:c>
      <x:c r="C130" s="60" t="str">
        <x:v>0x3815D67214216EC3683652c6f1DA4fD99F677d0b</x:v>
      </x:c>
      <x:c r="D130" s="67" t="n">
        <x:v>0</x:v>
      </x:c>
      <x:c r="E130" s="67"/>
      <x:c r="F130" s="67"/>
      <x:c r="G130" s="67"/>
      <x:c r="H130" s="67"/>
      <x:c r="I130" s="67"/>
      <x:c r="J130" s="60"/>
      <x:c r="K130" s="60"/>
      <x:c r="L130" s="60"/>
      <x:c r="M130" s="60"/>
      <x:c r="N130" s="60"/>
      <x:c r="O130" s="60" t="str">
        <x:v>Snapshot only — live RPC pull not run in this workbook</x:v>
      </x:c>
      <x:c r="P130" s="60" t="str">
        <x:v>Atropa snapshot 2025-02-27 / atropa-tokens JSON</x:v>
      </x:c>
    </x:row>
    <x:row r="131">
      <x:c r="A131" s="60" t="str">
        <x:v>One Time Pass</x:v>
      </x:c>
      <x:c r="B131" s="60" t="str">
        <x:v>OTP</x:v>
      </x:c>
      <x:c r="C131" s="60" t="str">
        <x:v>0x15975f7bbD7A3a6355C6c5ADbef9A8d37C104606</x:v>
      </x:c>
      <x:c r="D131" s="67" t="n">
        <x:v>0</x:v>
      </x:c>
      <x:c r="E131" s="67"/>
      <x:c r="F131" s="67"/>
      <x:c r="G131" s="67"/>
      <x:c r="H131" s="67"/>
      <x:c r="I131" s="67"/>
      <x:c r="J131" s="60"/>
      <x:c r="K131" s="60"/>
      <x:c r="L131" s="60"/>
      <x:c r="M131" s="60"/>
      <x:c r="N131" s="60"/>
      <x:c r="O131" s="60" t="str">
        <x:v>Snapshot only — live RPC pull not run in this workbook</x:v>
      </x:c>
      <x:c r="P131" s="60" t="str">
        <x:v>Atropa snapshot 2025-02-27 / atropa-tokens JSON</x:v>
      </x:c>
    </x:row>
    <x:row r="132">
      <x:c r="A132" s="60" t="str">
        <x:v>One Time Pass</x:v>
      </x:c>
      <x:c r="B132" s="60" t="str">
        <x:v>OTP</x:v>
      </x:c>
      <x:c r="C132" s="60" t="str">
        <x:v>0xA4D4988F35E93Ad91BD625722e065D08Bb47553C</x:v>
      </x:c>
      <x:c r="D132" s="67" t="n">
        <x:v>0</x:v>
      </x:c>
      <x:c r="E132" s="67"/>
      <x:c r="F132" s="67"/>
      <x:c r="G132" s="67"/>
      <x:c r="H132" s="67"/>
      <x:c r="I132" s="67"/>
      <x:c r="J132" s="60"/>
      <x:c r="K132" s="60"/>
      <x:c r="L132" s="60"/>
      <x:c r="M132" s="60"/>
      <x:c r="N132" s="60"/>
      <x:c r="O132" s="60" t="str">
        <x:v>Snapshot only — live RPC pull not run in this workbook</x:v>
      </x:c>
      <x:c r="P132" s="60" t="str">
        <x:v>Atropa snapshot 2025-02-27 / atropa-tokens JSON</x:v>
      </x:c>
    </x:row>
    <x:row r="133">
      <x:c r="A133" s="60" t="str">
        <x:v>One Time Pass</x:v>
      </x:c>
      <x:c r="B133" s="60" t="str">
        <x:v>OTP</x:v>
      </x:c>
      <x:c r="C133" s="60" t="str">
        <x:v>0x6CB1a1EEBF2E399858cd78E54AfD9f357fCa1fcB</x:v>
      </x:c>
      <x:c r="D133" s="67" t="n">
        <x:v>0</x:v>
      </x:c>
      <x:c r="E133" s="67"/>
      <x:c r="F133" s="67"/>
      <x:c r="G133" s="67"/>
      <x:c r="H133" s="67"/>
      <x:c r="I133" s="67"/>
      <x:c r="J133" s="60"/>
      <x:c r="K133" s="60"/>
      <x:c r="L133" s="60"/>
      <x:c r="M133" s="60"/>
      <x:c r="N133" s="60"/>
      <x:c r="O133" s="60" t="str">
        <x:v>Snapshot only — live RPC pull not run in this workbook</x:v>
      </x:c>
      <x:c r="P133" s="60" t="str">
        <x:v>Atropa snapshot 2025-02-27 / atropa-tokens JSON</x:v>
      </x:c>
    </x:row>
    <x:row r="134">
      <x:c r="A134" s="60" t="str">
        <x:v>One Time Pass</x:v>
      </x:c>
      <x:c r="B134" s="60" t="str">
        <x:v>OTP</x:v>
      </x:c>
      <x:c r="C134" s="60" t="str">
        <x:v>0xdaBaA0fcB4AEAF014ae9E79837A4487d20A3aB06</x:v>
      </x:c>
      <x:c r="D134" s="67" t="n">
        <x:v>0</x:v>
      </x:c>
      <x:c r="E134" s="67"/>
      <x:c r="F134" s="67"/>
      <x:c r="G134" s="67"/>
      <x:c r="H134" s="67"/>
      <x:c r="I134" s="67"/>
      <x:c r="J134" s="60"/>
      <x:c r="K134" s="60"/>
      <x:c r="L134" s="60"/>
      <x:c r="M134" s="60"/>
      <x:c r="N134" s="60"/>
      <x:c r="O134" s="60" t="str">
        <x:v>Snapshot only — live RPC pull not run in this workbook</x:v>
      </x:c>
      <x:c r="P134" s="60" t="str">
        <x:v>Atropa snapshot 2025-02-27 / atropa-tokens JSON</x:v>
      </x:c>
    </x:row>
    <x:row r="135">
      <x:c r="A135" s="60" t="str">
        <x:v>One Time Pass</x:v>
      </x:c>
      <x:c r="B135" s="60" t="str">
        <x:v>OTP</x:v>
      </x:c>
      <x:c r="C135" s="60" t="str">
        <x:v>0x4cF830c0714f01cf506EC3fBBae7874b18A29691</x:v>
      </x:c>
      <x:c r="D135" s="67" t="n">
        <x:v>0</x:v>
      </x:c>
      <x:c r="E135" s="67"/>
      <x:c r="F135" s="67"/>
      <x:c r="G135" s="67"/>
      <x:c r="H135" s="67"/>
      <x:c r="I135" s="67"/>
      <x:c r="J135" s="60"/>
      <x:c r="K135" s="60"/>
      <x:c r="L135" s="60"/>
      <x:c r="M135" s="60"/>
      <x:c r="N135" s="60"/>
      <x:c r="O135" s="60" t="str">
        <x:v>Snapshot only — live RPC pull not run in this workbook</x:v>
      </x:c>
      <x:c r="P135" s="60" t="str">
        <x:v>Atropa snapshot 2025-02-27 / atropa-tokens JSON</x:v>
      </x:c>
    </x:row>
    <x:row r="136">
      <x:c r="A136" s="60" t="str">
        <x:v>One Time Pass</x:v>
      </x:c>
      <x:c r="B136" s="60" t="str">
        <x:v>OTP</x:v>
      </x:c>
      <x:c r="C136" s="60" t="str">
        <x:v>0xB2F814f75369Af421508B7Ef81c8776866709730</x:v>
      </x:c>
      <x:c r="D136" s="67" t="n">
        <x:v>0</x:v>
      </x:c>
      <x:c r="E136" s="67"/>
      <x:c r="F136" s="67"/>
      <x:c r="G136" s="67"/>
      <x:c r="H136" s="67"/>
      <x:c r="I136" s="67"/>
      <x:c r="J136" s="60"/>
      <x:c r="K136" s="60"/>
      <x:c r="L136" s="60"/>
      <x:c r="M136" s="60"/>
      <x:c r="N136" s="60"/>
      <x:c r="O136" s="60" t="str">
        <x:v>Snapshot only — live RPC pull not run in this workbook</x:v>
      </x:c>
      <x:c r="P136" s="60" t="str">
        <x:v>Atropa snapshot 2025-02-27 / atropa-tokens JSON</x:v>
      </x:c>
    </x:row>
    <x:row r="137">
      <x:c r="A137" s="60" t="str">
        <x:v>One Time Pass</x:v>
      </x:c>
      <x:c r="B137" s="60" t="str">
        <x:v>OTP</x:v>
      </x:c>
      <x:c r="C137" s="60" t="str">
        <x:v>0x5ED157C157A430a5bC4f0F1b0Bd78EbeE6533479</x:v>
      </x:c>
      <x:c r="D137" s="67" t="n">
        <x:v>0</x:v>
      </x:c>
      <x:c r="E137" s="67"/>
      <x:c r="F137" s="67"/>
      <x:c r="G137" s="67"/>
      <x:c r="H137" s="67"/>
      <x:c r="I137" s="67"/>
      <x:c r="J137" s="60"/>
      <x:c r="K137" s="60"/>
      <x:c r="L137" s="60"/>
      <x:c r="M137" s="60"/>
      <x:c r="N137" s="60"/>
      <x:c r="O137" s="60" t="str">
        <x:v>Snapshot only — live RPC pull not run in this workbook</x:v>
      </x:c>
      <x:c r="P137" s="60" t="str">
        <x:v>Atropa snapshot 2025-02-27 / atropa-tokens JSON</x:v>
      </x:c>
    </x:row>
    <x:row r="138">
      <x:c r="A138" s="60" t="str">
        <x:v>One Time Pass</x:v>
      </x:c>
      <x:c r="B138" s="60" t="str">
        <x:v>OTP</x:v>
      </x:c>
      <x:c r="C138" s="60" t="str">
        <x:v>0x30C4e7a7B6A19c704742d55b546872C7f01615D7</x:v>
      </x:c>
      <x:c r="D138" s="67" t="n">
        <x:v>0</x:v>
      </x:c>
      <x:c r="E138" s="67"/>
      <x:c r="F138" s="67"/>
      <x:c r="G138" s="67"/>
      <x:c r="H138" s="67"/>
      <x:c r="I138" s="67"/>
      <x:c r="J138" s="60"/>
      <x:c r="K138" s="60"/>
      <x:c r="L138" s="60"/>
      <x:c r="M138" s="60"/>
      <x:c r="N138" s="60"/>
      <x:c r="O138" s="60" t="str">
        <x:v>Snapshot only — live RPC pull not run in this workbook</x:v>
      </x:c>
      <x:c r="P138" s="60" t="str">
        <x:v>Atropa snapshot 2025-02-27 / atropa-tokens JSON</x:v>
      </x:c>
    </x:row>
    <x:row r="139">
      <x:c r="A139" s="60" t="str">
        <x:v>One Time Pass</x:v>
      </x:c>
      <x:c r="B139" s="60" t="str">
        <x:v>OTP</x:v>
      </x:c>
      <x:c r="C139" s="60" t="str">
        <x:v>0xf2A202C9CD126F36ABDA6bBFba14F314922335de</x:v>
      </x:c>
      <x:c r="D139" s="67" t="n">
        <x:v>0</x:v>
      </x:c>
      <x:c r="E139" s="67"/>
      <x:c r="F139" s="67"/>
      <x:c r="G139" s="67"/>
      <x:c r="H139" s="67"/>
      <x:c r="I139" s="67"/>
      <x:c r="J139" s="60"/>
      <x:c r="K139" s="60"/>
      <x:c r="L139" s="60"/>
      <x:c r="M139" s="60"/>
      <x:c r="N139" s="60"/>
      <x:c r="O139" s="60" t="str">
        <x:v>Snapshot only — live RPC pull not run in this workbook</x:v>
      </x:c>
      <x:c r="P139" s="60" t="str">
        <x:v>Atropa snapshot 2025-02-27 / atropa-tokens JSON</x:v>
      </x:c>
    </x:row>
    <x:row r="140">
      <x:c r="A140" s="60" t="str">
        <x:v>One Time Pass Fake</x:v>
      </x:c>
      <x:c r="B140" s="60" t="str">
        <x:v>OTPF</x:v>
      </x:c>
      <x:c r="C140" s="60" t="str">
        <x:v>0x4443123a54A05bAF16089a3c922D0b9CF5901032</x:v>
      </x:c>
      <x:c r="D140" s="67" t="n">
        <x:v>0</x:v>
      </x:c>
      <x:c r="E140" s="67"/>
      <x:c r="F140" s="67"/>
      <x:c r="G140" s="67"/>
      <x:c r="H140" s="67"/>
      <x:c r="I140" s="67"/>
      <x:c r="J140" s="60"/>
      <x:c r="K140" s="60"/>
      <x:c r="L140" s="60"/>
      <x:c r="M140" s="60"/>
      <x:c r="N140" s="60"/>
      <x:c r="O140" s="60" t="str">
        <x:v>Snapshot only — live RPC pull not run in this workbook</x:v>
      </x:c>
      <x:c r="P140" s="60" t="str">
        <x:v>Atropa snapshot 2025-02-27 / atropa-tokens JSON</x:v>
      </x:c>
    </x:row>
    <x:row r="141">
      <x:c r="A141" s="60" t="str">
        <x:v>One Time Pass</x:v>
      </x:c>
      <x:c r="B141" s="60" t="str">
        <x:v>OTP</x:v>
      </x:c>
      <x:c r="C141" s="60" t="str">
        <x:v>0x4D4f041E967CC5C0aF132a179d20F46D49062FBe</x:v>
      </x:c>
      <x:c r="D141" s="67" t="n">
        <x:v>0</x:v>
      </x:c>
      <x:c r="E141" s="67"/>
      <x:c r="F141" s="67"/>
      <x:c r="G141" s="67"/>
      <x:c r="H141" s="67"/>
      <x:c r="I141" s="67"/>
      <x:c r="J141" s="60"/>
      <x:c r="K141" s="60"/>
      <x:c r="L141" s="60"/>
      <x:c r="M141" s="60"/>
      <x:c r="N141" s="60"/>
      <x:c r="O141" s="60" t="str">
        <x:v>Snapshot only — live RPC pull not run in this workbook</x:v>
      </x:c>
      <x:c r="P141" s="60" t="str">
        <x:v>Atropa snapshot 2025-02-27 / atropa-tokens JSON</x:v>
      </x:c>
    </x:row>
    <x:row r="142">
      <x:c r="A142" s="60" t="str">
        <x:v>One Time Pass</x:v>
      </x:c>
      <x:c r="B142" s="60" t="str">
        <x:v>OTP</x:v>
      </x:c>
      <x:c r="C142" s="60" t="str">
        <x:v>0xcD960caC63fDC93D83Cc1Bf217Dbe646dAB52870</x:v>
      </x:c>
      <x:c r="D142" s="67" t="n">
        <x:v>0</x:v>
      </x:c>
      <x:c r="E142" s="67"/>
      <x:c r="F142" s="67"/>
      <x:c r="G142" s="67"/>
      <x:c r="H142" s="67"/>
      <x:c r="I142" s="67"/>
      <x:c r="J142" s="60"/>
      <x:c r="K142" s="60"/>
      <x:c r="L142" s="60"/>
      <x:c r="M142" s="60"/>
      <x:c r="N142" s="60"/>
      <x:c r="O142" s="60" t="str">
        <x:v>Snapshot only — live RPC pull not run in this workbook</x:v>
      </x:c>
      <x:c r="P142" s="60" t="str">
        <x:v>Atropa snapshot 2025-02-27 / atropa-tokens JSON</x:v>
      </x:c>
    </x:row>
    <x:row r="143">
      <x:c r="A143" s="60" t="str">
        <x:v>One Time Pass</x:v>
      </x:c>
      <x:c r="B143" s="60" t="str">
        <x:v>OTP</x:v>
      </x:c>
      <x:c r="C143" s="60" t="str">
        <x:v>0x0bF1b7A5a3A4ad951e995651EFFCf82D4662fe95</x:v>
      </x:c>
      <x:c r="D143" s="67" t="n">
        <x:v>0</x:v>
      </x:c>
      <x:c r="E143" s="67"/>
      <x:c r="F143" s="67"/>
      <x:c r="G143" s="67"/>
      <x:c r="H143" s="67"/>
      <x:c r="I143" s="67"/>
      <x:c r="J143" s="60"/>
      <x:c r="K143" s="60"/>
      <x:c r="L143" s="60"/>
      <x:c r="M143" s="60"/>
      <x:c r="N143" s="60"/>
      <x:c r="O143" s="60" t="str">
        <x:v>Snapshot only — live RPC pull not run in this workbook</x:v>
      </x:c>
      <x:c r="P143" s="60" t="str">
        <x:v>Atropa snapshot 2025-02-27 / atropa-tokens JSON</x:v>
      </x:c>
    </x:row>
    <x:row r="144">
      <x:c r="A144" s="60" t="str">
        <x:v>One Time Pass</x:v>
      </x:c>
      <x:c r="B144" s="60" t="str">
        <x:v>OTP</x:v>
      </x:c>
      <x:c r="C144" s="60" t="str">
        <x:v>0x603c6a0D4a565941658dc85CFb45DA908b838C2C</x:v>
      </x:c>
      <x:c r="D144" s="67" t="n">
        <x:v>0</x:v>
      </x:c>
      <x:c r="E144" s="67"/>
      <x:c r="F144" s="67"/>
      <x:c r="G144" s="67"/>
      <x:c r="H144" s="67"/>
      <x:c r="I144" s="67"/>
      <x:c r="J144" s="60"/>
      <x:c r="K144" s="60"/>
      <x:c r="L144" s="60"/>
      <x:c r="M144" s="60"/>
      <x:c r="N144" s="60"/>
      <x:c r="O144" s="60" t="str">
        <x:v>Snapshot only — live RPC pull not run in this workbook</x:v>
      </x:c>
      <x:c r="P144" s="60" t="str">
        <x:v>Atropa snapshot 2025-02-27 / atropa-tokens JSON</x:v>
      </x:c>
    </x:row>
    <x:row r="145">
      <x:c r="A145" s="60" t="str">
        <x:v>One Time Pass</x:v>
      </x:c>
      <x:c r="B145" s="60" t="str">
        <x:v>OTP</x:v>
      </x:c>
      <x:c r="C145" s="60" t="str">
        <x:v>0x71d8Cb4828f129929D82a35686f2aC73F3901eC9</x:v>
      </x:c>
      <x:c r="D145" s="67" t="n">
        <x:v>0</x:v>
      </x:c>
      <x:c r="E145" s="67"/>
      <x:c r="F145" s="67"/>
      <x:c r="G145" s="67"/>
      <x:c r="H145" s="67"/>
      <x:c r="I145" s="67"/>
      <x:c r="J145" s="60"/>
      <x:c r="K145" s="60"/>
      <x:c r="L145" s="60"/>
      <x:c r="M145" s="60"/>
      <x:c r="N145" s="60"/>
      <x:c r="O145" s="60" t="str">
        <x:v>Snapshot only — live RPC pull not run in this workbook</x:v>
      </x:c>
      <x:c r="P145" s="60" t="str">
        <x:v>Atropa snapshot 2025-02-27 / atropa-tokens JSON</x:v>
      </x:c>
    </x:row>
    <x:row r="146">
      <x:c r="A146" s="60" t="str">
        <x:v>One Time Pass</x:v>
      </x:c>
      <x:c r="B146" s="60" t="str">
        <x:v>OTP</x:v>
      </x:c>
      <x:c r="C146" s="60" t="str">
        <x:v>0x4E5dC8DDeE98471db9E32F4320bDC4E77c184e44</x:v>
      </x:c>
      <x:c r="D146" s="67" t="n">
        <x:v>0</x:v>
      </x:c>
      <x:c r="E146" s="67"/>
      <x:c r="F146" s="67"/>
      <x:c r="G146" s="67"/>
      <x:c r="H146" s="67"/>
      <x:c r="I146" s="67"/>
      <x:c r="J146" s="60"/>
      <x:c r="K146" s="60"/>
      <x:c r="L146" s="60"/>
      <x:c r="M146" s="60"/>
      <x:c r="N146" s="60"/>
      <x:c r="O146" s="60" t="str">
        <x:v>Snapshot only — live RPC pull not run in this workbook</x:v>
      </x:c>
      <x:c r="P146" s="60" t="str">
        <x:v>Atropa snapshot 2025-02-27 / atropa-tokens JSON</x:v>
      </x:c>
    </x:row>
    <x:row r="147">
      <x:c r="A147" s="60" t="str">
        <x:v>One Time Pass</x:v>
      </x:c>
      <x:c r="B147" s="60" t="str">
        <x:v>OTP</x:v>
      </x:c>
      <x:c r="C147" s="60" t="str">
        <x:v>0xB0F0fDf5594d2A63660A2f71932f7Fba1426C4E4</x:v>
      </x:c>
      <x:c r="D147" s="67" t="n">
        <x:v>0</x:v>
      </x:c>
      <x:c r="E147" s="67"/>
      <x:c r="F147" s="67"/>
      <x:c r="G147" s="67"/>
      <x:c r="H147" s="67"/>
      <x:c r="I147" s="67"/>
      <x:c r="J147" s="60"/>
      <x:c r="K147" s="60"/>
      <x:c r="L147" s="60"/>
      <x:c r="M147" s="60"/>
      <x:c r="N147" s="60"/>
      <x:c r="O147" s="60" t="str">
        <x:v>Snapshot only — live RPC pull not run in this workbook</x:v>
      </x:c>
      <x:c r="P147" s="60" t="str">
        <x:v>Atropa snapshot 2025-02-27 / atropa-tokens JSON</x:v>
      </x:c>
    </x:row>
    <x:row r="148">
      <x:c r="A148" s="60" t="str">
        <x:v>One Time Pass</x:v>
      </x:c>
      <x:c r="B148" s="60" t="str">
        <x:v>OTP</x:v>
      </x:c>
      <x:c r="C148" s="60" t="str">
        <x:v>0x325950F00cbeBdFF0EC6637BAD2D386E0c629841</x:v>
      </x:c>
      <x:c r="D148" s="67" t="n">
        <x:v>0</x:v>
      </x:c>
      <x:c r="E148" s="67"/>
      <x:c r="F148" s="67"/>
      <x:c r="G148" s="67"/>
      <x:c r="H148" s="67"/>
      <x:c r="I148" s="67"/>
      <x:c r="J148" s="60"/>
      <x:c r="K148" s="60"/>
      <x:c r="L148" s="60"/>
      <x:c r="M148" s="60"/>
      <x:c r="N148" s="60"/>
      <x:c r="O148" s="60" t="str">
        <x:v>Snapshot only — live RPC pull not run in this workbook</x:v>
      </x:c>
      <x:c r="P148" s="60" t="str">
        <x:v>Atropa snapshot 2025-02-27 / atropa-tokens JSON</x:v>
      </x:c>
    </x:row>
    <x:row r="149">
      <x:c r="A149" s="60" t="str">
        <x:v>𑊣𑊁𑊟𑊃𑊢𑊖𑊀</x:v>
      </x:c>
      <x:c r="B149" s="60" t="str">
        <x:v>𑜾</x:v>
      </x:c>
      <x:c r="C149" s="60" t="str">
        <x:v>0xFE9b99eCC43cb423408b975cc5ff439e5ABaCb61</x:v>
      </x:c>
      <x:c r="D149" s="67" t="n">
        <x:v>112</x:v>
      </x:c>
      <x:c r="E149" s="67"/>
      <x:c r="F149" s="67"/>
      <x:c r="G149" s="67"/>
      <x:c r="H149" s="67"/>
      <x:c r="I149" s="67"/>
      <x:c r="J149" s="60"/>
      <x:c r="K149" s="60"/>
      <x:c r="L149" s="60"/>
      <x:c r="M149" s="60"/>
      <x:c r="N149" s="60"/>
      <x:c r="O149" s="60" t="str">
        <x:v>Snapshot only — live RPC pull not run in this workbook</x:v>
      </x:c>
      <x:c r="P149" s="60" t="str">
        <x:v>Atropa snapshot 2025-02-27 / atropa-tokens JSON</x:v>
      </x:c>
    </x:row>
    <x:row r="150">
      <x:c r="A150" s="60" t="str">
        <x:v>𐿡𐿱𐿶𐿦𐿧</x:v>
      </x:c>
      <x:c r="B150" s="60" t="str">
        <x:v>NUT</x:v>
      </x:c>
      <x:c r="C150" s="60" t="str">
        <x:v>0x363DccBcabf8e602ba237399Da4845CC45D0d68B</x:v>
      </x:c>
      <x:c r="D150" s="67" t="n">
        <x:v>666</x:v>
      </x:c>
      <x:c r="E150" s="67"/>
      <x:c r="F150" s="67"/>
      <x:c r="G150" s="67"/>
      <x:c r="H150" s="67"/>
      <x:c r="I150" s="67"/>
      <x:c r="J150" s="60"/>
      <x:c r="K150" s="60"/>
      <x:c r="L150" s="60"/>
      <x:c r="M150" s="60"/>
      <x:c r="N150" s="60"/>
      <x:c r="O150" s="60" t="str">
        <x:v>Snapshot only — live RPC pull not run in this workbook</x:v>
      </x:c>
      <x:c r="P150" s="60" t="str">
        <x:v>Atropa snapshot 2025-02-27 / atropa-tokens JSON</x:v>
      </x:c>
    </x:row>
    <x:row r="151">
      <x:c r="A151" s="60" t="str">
        <x:v>𞄀𞄑𞄡𞄢𞄣𞄪𞄋𞄩 𞅏</x:v>
      </x:c>
      <x:c r="B151" s="60" t="str">
        <x:v>𞅏</x:v>
      </x:c>
      <x:c r="C151" s="60" t="str">
        <x:v>0xB8FaCE58CB05C55BBBA9c564A550cc2402A40b5b</x:v>
      </x:c>
      <x:c r="D151" s="67" t="n">
        <x:v>1</x:v>
      </x:c>
      <x:c r="E151" s="67"/>
      <x:c r="F151" s="67"/>
      <x:c r="G151" s="67"/>
      <x:c r="H151" s="67"/>
      <x:c r="I151" s="67"/>
      <x:c r="J151" s="60"/>
      <x:c r="K151" s="60"/>
      <x:c r="L151" s="60"/>
      <x:c r="M151" s="60"/>
      <x:c r="N151" s="60"/>
      <x:c r="O151" s="60" t="str">
        <x:v>Snapshot only — live RPC pull not run in this workbook</x:v>
      </x:c>
      <x:c r="P151" s="60" t="str">
        <x:v>Atropa snapshot 2025-02-27 / atropa-tokens JSON</x:v>
      </x:c>
    </x:row>
    <x:row r="152">
      <x:c r="A152" s="60" t="str">
        <x:v>𑒙𑓂𑒪𑒲𑓅𑒫𑒱𑒙𑓃 𞅏</x:v>
      </x:c>
      <x:c r="B152" s="60" t="str">
        <x:v>𑒙𑒰𑓅 𞅏</x:v>
      </x:c>
      <x:c r="C152" s="60" t="str">
        <x:v>0x54D88F0c4a738247DadF160923E1b1C5dc4F510f</x:v>
      </x:c>
      <x:c r="D152" s="67" t="n">
        <x:v>3359</x:v>
      </x:c>
      <x:c r="E152" s="67"/>
      <x:c r="F152" s="67"/>
      <x:c r="G152" s="67"/>
      <x:c r="H152" s="67"/>
      <x:c r="I152" s="67"/>
      <x:c r="J152" s="60"/>
      <x:c r="K152" s="60"/>
      <x:c r="L152" s="60"/>
      <x:c r="M152" s="60"/>
      <x:c r="N152" s="60"/>
      <x:c r="O152" s="60" t="str">
        <x:v>Snapshot only — live RPC pull not run in this workbook</x:v>
      </x:c>
      <x:c r="P152" s="60" t="str">
        <x:v>Atropa snapshot 2025-02-27 / atropa-tokens JSON</x:v>
      </x:c>
    </x:row>
    <x:row r="153">
      <x:c r="A153" s="60" t="str">
        <x:v>Always Ready, Always There</x:v>
      </x:c>
      <x:c r="B153" s="60" t="str">
        <x:v>𑫊𑫤𑫖𑫚</x:v>
      </x:c>
      <x:c r="C153" s="60" t="str">
        <x:v>0x7e80579Ef57A2b80e1E7bC181a5caC98767d24AB</x:v>
      </x:c>
      <x:c r="D153" s="67" t="n">
        <x:v>666</x:v>
      </x:c>
      <x:c r="E153" s="67"/>
      <x:c r="F153" s="67"/>
      <x:c r="G153" s="67"/>
      <x:c r="H153" s="67"/>
      <x:c r="I153" s="67"/>
      <x:c r="J153" s="60"/>
      <x:c r="K153" s="60"/>
      <x:c r="L153" s="60"/>
      <x:c r="M153" s="60"/>
      <x:c r="N153" s="60"/>
      <x:c r="O153" s="60" t="str">
        <x:v>Snapshot only — live RPC pull not run in this workbook</x:v>
      </x:c>
      <x:c r="P153" s="60" t="str">
        <x:v>Atropa snapshot 2025-02-27 / atropa-tokens JSON</x:v>
      </x:c>
    </x:row>
    <x:row r="154">
      <x:c r="A154" s="60" t="str">
        <x:v>李克强</x:v>
      </x:c>
      <x:c r="B154" s="60" t="str">
        <x:v>克强</x:v>
      </x:c>
      <x:c r="C154" s="60" t="str">
        <x:v>0xe63B65d23434555841e71ea32F470EA4879e973D</x:v>
      </x:c>
      <x:c r="D154" s="67" t="n">
        <x:v>1</x:v>
      </x:c>
      <x:c r="E154" s="67"/>
      <x:c r="F154" s="67"/>
      <x:c r="G154" s="67"/>
      <x:c r="H154" s="67"/>
      <x:c r="I154" s="67"/>
      <x:c r="J154" s="60"/>
      <x:c r="K154" s="60"/>
      <x:c r="L154" s="60"/>
      <x:c r="M154" s="60"/>
      <x:c r="N154" s="60"/>
      <x:c r="O154" s="60" t="str">
        <x:v>Snapshot only — live RPC pull not run in this workbook</x:v>
      </x:c>
      <x:c r="P154" s="60" t="str">
        <x:v>Atropa snapshot 2025-02-27 / atropa-tokens JSON</x:v>
      </x:c>
    </x:row>
    <x:row r="155">
      <x:c r="A155" s="60" t="str">
        <x:v>Gaon</x:v>
      </x:c>
      <x:c r="B155" s="60" t="str">
        <x:v>GAON</x:v>
      </x:c>
      <x:c r="C155" s="60" t="str">
        <x:v>0xFE5F16CFBA8ebC0e407b58662a20a144107484dC</x:v>
      </x:c>
      <x:c r="D155" s="67" t="n">
        <x:v>666</x:v>
      </x:c>
      <x:c r="E155" s="67"/>
      <x:c r="F155" s="67"/>
      <x:c r="G155" s="67"/>
      <x:c r="H155" s="67"/>
      <x:c r="I155" s="67"/>
      <x:c r="J155" s="60"/>
      <x:c r="K155" s="60"/>
      <x:c r="L155" s="60"/>
      <x:c r="M155" s="60"/>
      <x:c r="N155" s="60"/>
      <x:c r="O155" s="60" t="str">
        <x:v>Snapshot only — live RPC pull not run in this workbook</x:v>
      </x:c>
      <x:c r="P155" s="60" t="str">
        <x:v>Atropa snapshot 2025-02-27 / atropa-tokens JSON</x:v>
      </x:c>
    </x:row>
    <x:row r="156">
      <x:c r="A156" s="60" t="str">
        <x:v>MEASURE</x:v>
      </x:c>
      <x:c r="B156" s="60" t="str">
        <x:v>ညΦΤ0</x:v>
      </x:c>
      <x:c r="C156" s="60" t="str">
        <x:v>0x9bFbCec5Ae5352F83Cef23c57758b020c71394CB</x:v>
      </x:c>
      <x:c r="D156" s="67" t="n">
        <x:v>666</x:v>
      </x:c>
      <x:c r="E156" s="67"/>
      <x:c r="F156" s="67"/>
      <x:c r="G156" s="67"/>
      <x:c r="H156" s="67"/>
      <x:c r="I156" s="67"/>
      <x:c r="J156" s="60"/>
      <x:c r="K156" s="60"/>
      <x:c r="L156" s="60"/>
      <x:c r="M156" s="60"/>
      <x:c r="N156" s="60"/>
      <x:c r="O156" s="60" t="str">
        <x:v>Snapshot only — live RPC pull not run in this workbook</x:v>
      </x:c>
      <x:c r="P156" s="60" t="str">
        <x:v>Atropa snapshot 2025-02-27 / atropa-tokens JSON</x:v>
      </x:c>
    </x:row>
    <x:row r="157">
      <x:c r="A157" s="60" t="str">
        <x:v>𑀭𑀭𑀭𑀭𑀭</x:v>
      </x:c>
      <x:c r="B157" s="60" t="str">
        <x:v>BFF</x:v>
      </x:c>
      <x:c r="C157" s="60" t="str">
        <x:v>0xE35A842eb1EDca4C710B6c1B1565cE7df13f5996</x:v>
      </x:c>
      <x:c r="D157" s="67" t="n">
        <x:v>777</x:v>
      </x:c>
      <x:c r="E157" s="67"/>
      <x:c r="F157" s="67"/>
      <x:c r="G157" s="67"/>
      <x:c r="H157" s="67"/>
      <x:c r="I157" s="67"/>
      <x:c r="J157" s="60"/>
      <x:c r="K157" s="60"/>
      <x:c r="L157" s="60"/>
      <x:c r="M157" s="60"/>
      <x:c r="N157" s="60"/>
      <x:c r="O157" s="60" t="str">
        <x:v>Snapshot only — live RPC pull not run in this workbook</x:v>
      </x:c>
      <x:c r="P157" s="60" t="str">
        <x:v>Atropa snapshot 2025-02-27 / atropa-tokens JSON</x:v>
      </x:c>
    </x:row>
    <x:row r="158">
      <x:c r="A158" s="60" t="str">
        <x:v>𑲃𑲄𑱷𑱶</x:v>
      </x:c>
      <x:c r="B158" s="60" t="str">
        <x:v>𑱰</x:v>
      </x:c>
      <x:c r="C158" s="60" t="str">
        <x:v>0x68E87Fa19984f45C68945BBd4c81bF3481750429</x:v>
      </x:c>
      <x:c r="D158" s="67" t="n">
        <x:v>1</x:v>
      </x:c>
      <x:c r="E158" s="67"/>
      <x:c r="F158" s="67"/>
      <x:c r="G158" s="67"/>
      <x:c r="H158" s="67"/>
      <x:c r="I158" s="67"/>
      <x:c r="J158" s="60"/>
      <x:c r="K158" s="60"/>
      <x:c r="L158" s="60"/>
      <x:c r="M158" s="60"/>
      <x:c r="N158" s="60"/>
      <x:c r="O158" s="60" t="str">
        <x:v>Snapshot only — live RPC pull not run in this workbook</x:v>
      </x:c>
      <x:c r="P158" s="60" t="str">
        <x:v>Atropa snapshot 2025-02-27 / atropa-tokens JSON</x:v>
      </x:c>
    </x:row>
    <x:row r="159">
      <x:c r="A159" s="60" t="str">
        <x:v>Interessanti</x:v>
      </x:c>
      <x:c r="B159" s="60" t="str">
        <x:v>VATHEK</x:v>
      </x:c>
      <x:c r="C159" s="60" t="str">
        <x:v>0x36824A24780cCf79e973D355cD16A12279cF8700</x:v>
      </x:c>
      <x:c r="D159" s="67" t="n">
        <x:v>666</x:v>
      </x:c>
      <x:c r="E159" s="67"/>
      <x:c r="F159" s="67"/>
      <x:c r="G159" s="67"/>
      <x:c r="H159" s="67"/>
      <x:c r="I159" s="67"/>
      <x:c r="J159" s="60"/>
      <x:c r="K159" s="60"/>
      <x:c r="L159" s="60"/>
      <x:c r="M159" s="60"/>
      <x:c r="N159" s="60"/>
      <x:c r="O159" s="60" t="str">
        <x:v>Snapshot only — live RPC pull not run in this workbook</x:v>
      </x:c>
      <x:c r="P159" s="60" t="str">
        <x:v>Atropa snapshot 2025-02-27 / atropa-tokens JSON</x:v>
      </x:c>
    </x:row>
    <x:row r="160">
      <x:c r="A160" s="60" t="str">
        <x:v>Office Of Louise Glaum</x:v>
      </x:c>
      <x:c r="B160" s="60" t="str">
        <x:v>OATH</x:v>
      </x:c>
      <x:c r="C160" s="60" t="str">
        <x:v>0xf1026C1a67A5243903fFd11cD4e2F7E2a0571ac0</x:v>
      </x:c>
      <x:c r="D160" s="67" t="n">
        <x:v>666</x:v>
      </x:c>
      <x:c r="E160" s="67"/>
      <x:c r="F160" s="67"/>
      <x:c r="G160" s="67"/>
      <x:c r="H160" s="67"/>
      <x:c r="I160" s="67"/>
      <x:c r="J160" s="60"/>
      <x:c r="K160" s="60"/>
      <x:c r="L160" s="60"/>
      <x:c r="M160" s="60"/>
      <x:c r="N160" s="60"/>
      <x:c r="O160" s="60" t="str">
        <x:v>Snapshot only — live RPC pull not run in this workbook</x:v>
      </x:c>
      <x:c r="P160" s="60" t="str">
        <x:v>Atropa snapshot 2025-02-27 / atropa-tokens JSON</x:v>
      </x:c>
    </x:row>
    <x:row r="161">
      <x:c r="A161" s="60" t="str">
        <x:v>𑆨𑆼𑆤𑆼𑆦𑇊𑆴𑆠𑇀𑆱𑇀</x:v>
      </x:c>
      <x:c r="B161" s="60" t="str">
        <x:v>𑆢𑆮𑆾𑆱𑇀</x:v>
      </x:c>
      <x:c r="C161" s="60" t="str">
        <x:v>0x27a4f4db98798098748712f2317774F98cEc7ED5</x:v>
      </x:c>
      <x:c r="D161" s="67" t="n">
        <x:v>666</x:v>
      </x:c>
      <x:c r="E161" s="67"/>
      <x:c r="F161" s="67"/>
      <x:c r="G161" s="67"/>
      <x:c r="H161" s="67"/>
      <x:c r="I161" s="67"/>
      <x:c r="J161" s="60"/>
      <x:c r="K161" s="60"/>
      <x:c r="L161" s="60"/>
      <x:c r="M161" s="60"/>
      <x:c r="N161" s="60"/>
      <x:c r="O161" s="60" t="str">
        <x:v>Snapshot only — live RPC pull not run in this workbook</x:v>
      </x:c>
      <x:c r="P161" s="60" t="str">
        <x:v>Atropa snapshot 2025-02-27 / atropa-tokens JSON</x:v>
      </x:c>
    </x:row>
    <x:row r="162">
      <x:c r="A162" s="60" t="str">
        <x:v>The Penrose Society</x:v>
      </x:c>
      <x:c r="B162" s="60" t="str">
        <x:v>PENROSE</x:v>
      </x:c>
      <x:c r="C162" s="60" t="str">
        <x:v>0xE3FADEbFfa0E577BD36CBEA1f90537E5E42f881b</x:v>
      </x:c>
      <x:c r="D162" s="67" t="n">
        <x:v>666</x:v>
      </x:c>
      <x:c r="E162" s="67"/>
      <x:c r="F162" s="67"/>
      <x:c r="G162" s="67"/>
      <x:c r="H162" s="67"/>
      <x:c r="I162" s="67"/>
      <x:c r="J162" s="60"/>
      <x:c r="K162" s="60"/>
      <x:c r="L162" s="60"/>
      <x:c r="M162" s="60"/>
      <x:c r="N162" s="60"/>
      <x:c r="O162" s="60" t="str">
        <x:v>Snapshot only — live RPC pull not run in this workbook</x:v>
      </x:c>
      <x:c r="P162" s="60" t="str">
        <x:v>Atropa snapshot 2025-02-27 / atropa-tokens JSON</x:v>
      </x:c>
    </x:row>
    <x:row r="163">
      <x:c r="A163" s="60" t="str">
        <x:v>United States Deputy Secretary of the Interior</x:v>
      </x:c>
      <x:c r="B163" s="60" t="str">
        <x:v>◌𝨗CRAZY◌𝨗</x:v>
      </x:c>
      <x:c r="C163" s="60" t="str">
        <x:v>0x9C3D2c93993F196AAC232ede26321B95F5702545</x:v>
      </x:c>
      <x:c r="D163" s="67" t="n">
        <x:v>666</x:v>
      </x:c>
      <x:c r="E163" s="67"/>
      <x:c r="F163" s="67"/>
      <x:c r="G163" s="67"/>
      <x:c r="H163" s="67"/>
      <x:c r="I163" s="67"/>
      <x:c r="J163" s="60"/>
      <x:c r="K163" s="60"/>
      <x:c r="L163" s="60"/>
      <x:c r="M163" s="60"/>
      <x:c r="N163" s="60"/>
      <x:c r="O163" s="60" t="str">
        <x:v>Snapshot only — live RPC pull not run in this workbook</x:v>
      </x:c>
      <x:c r="P163" s="60" t="str">
        <x:v>Atropa snapshot 2025-02-27 / atropa-tokens JSON</x:v>
      </x:c>
    </x:row>
    <x:row r="164">
      <x:c r="A164" s="60" t="str">
        <x:v>Verlagsallerhand</x:v>
      </x:c>
      <x:c r="B164" s="60" t="str">
        <x:v>︗</x:v>
      </x:c>
      <x:c r="C164" s="60" t="str">
        <x:v>0xF6E286FE1F22d9d0E2fE48b6d3B5506841F51Fc4</x:v>
      </x:c>
      <x:c r="D164" s="67" t="n">
        <x:v>666</x:v>
      </x:c>
      <x:c r="E164" s="67"/>
      <x:c r="F164" s="67"/>
      <x:c r="G164" s="67"/>
      <x:c r="H164" s="67"/>
      <x:c r="I164" s="67"/>
      <x:c r="J164" s="60"/>
      <x:c r="K164" s="60"/>
      <x:c r="L164" s="60"/>
      <x:c r="M164" s="60"/>
      <x:c r="N164" s="60"/>
      <x:c r="O164" s="60" t="str">
        <x:v>Snapshot only — live RPC pull not run in this workbook</x:v>
      </x:c>
      <x:c r="P164" s="60" t="str">
        <x:v>Atropa snapshot 2025-02-27 / atropa-tokens JSON</x:v>
      </x:c>
    </x:row>
    <x:row r="165">
      <x:c r="A165" s="60" t="str">
        <x:v>Кимкан</x:v>
      </x:c>
      <x:c r="B165" s="60" t="str">
        <x:v>ZION</x:v>
      </x:c>
      <x:c r="C165" s="60" t="str">
        <x:v>0x2EAC5FF91B1432827701e52cBBdAD63FA0C32D0d</x:v>
      </x:c>
      <x:c r="D165" s="67" t="n">
        <x:v>666</x:v>
      </x:c>
      <x:c r="E165" s="67"/>
      <x:c r="F165" s="67"/>
      <x:c r="G165" s="67"/>
      <x:c r="H165" s="67"/>
      <x:c r="I165" s="67"/>
      <x:c r="J165" s="60"/>
      <x:c r="K165" s="60"/>
      <x:c r="L165" s="60"/>
      <x:c r="M165" s="60"/>
      <x:c r="N165" s="60"/>
      <x:c r="O165" s="60" t="str">
        <x:v>Snapshot only — live RPC pull not run in this workbook</x:v>
      </x:c>
      <x:c r="P165" s="60" t="str">
        <x:v>Atropa snapshot 2025-02-27 / atropa-tokens JSON</x:v>
      </x:c>
    </x:row>
    <x:row r="166">
      <x:c r="A166" s="60" t="str">
        <x:v>LEPROSY</x:v>
      </x:c>
      <x:c r="B166" s="60" t="str">
        <x:v>🌈</x:v>
      </x:c>
      <x:c r="C166" s="60" t="str">
        <x:v>0x7759A6D283192ef2BA082923d28Bec6eBfAf9D68</x:v>
      </x:c>
      <x:c r="D166" s="67" t="n">
        <x:v>666</x:v>
      </x:c>
      <x:c r="E166" s="67"/>
      <x:c r="F166" s="67"/>
      <x:c r="G166" s="67"/>
      <x:c r="H166" s="67"/>
      <x:c r="I166" s="67"/>
      <x:c r="J166" s="60"/>
      <x:c r="K166" s="60"/>
      <x:c r="L166" s="60"/>
      <x:c r="M166" s="60"/>
      <x:c r="N166" s="60"/>
      <x:c r="O166" s="60" t="str">
        <x:v>Snapshot only — live RPC pull not run in this workbook</x:v>
      </x:c>
      <x:c r="P166" s="60" t="str">
        <x:v>Atropa snapshot 2025-02-27 / atropa-tokens JSON</x:v>
      </x:c>
    </x:row>
    <x:row r="167">
      <x:c r="A167" s="60" t="str">
        <x:v>Allantoin</x:v>
      </x:c>
      <x:c r="B167" s="60" t="str">
        <x:v>SPEED</x:v>
      </x:c>
      <x:c r="C167" s="60" t="str">
        <x:v>0x0d4dF81C334153D54A678ad0D25C617b69414e19</x:v>
      </x:c>
      <x:c r="D167" s="67" t="n">
        <x:v>39</x:v>
      </x:c>
      <x:c r="E167" s="67"/>
      <x:c r="F167" s="67"/>
      <x:c r="G167" s="67"/>
      <x:c r="H167" s="67"/>
      <x:c r="I167" s="67"/>
      <x:c r="J167" s="60"/>
      <x:c r="K167" s="60"/>
      <x:c r="L167" s="60"/>
      <x:c r="M167" s="60"/>
      <x:c r="N167" s="60"/>
      <x:c r="O167" s="60" t="str">
        <x:v>Snapshot only — live RPC pull not run in this workbook</x:v>
      </x:c>
      <x:c r="P167" s="60" t="str">
        <x:v>Atropa snapshot 2025-02-27 / atropa-tokens JSON</x:v>
      </x:c>
    </x:row>
    <x:row r="168">
      <x:c r="A168" s="60" t="str">
        <x:v>Chlorphenesin</x:v>
      </x:c>
      <x:c r="B168" s="60" t="str">
        <x:v>ROHYPNOL</x:v>
      </x:c>
      <x:c r="C168" s="60" t="str">
        <x:v>0x6fF9B356093799BE6435e16002E282E42C805D6a</x:v>
      </x:c>
      <x:c r="D168" s="67" t="n">
        <x:v>171</x:v>
      </x:c>
      <x:c r="E168" s="67"/>
      <x:c r="F168" s="67"/>
      <x:c r="G168" s="67"/>
      <x:c r="H168" s="67"/>
      <x:c r="I168" s="67"/>
      <x:c r="J168" s="60"/>
      <x:c r="K168" s="60"/>
      <x:c r="L168" s="60"/>
      <x:c r="M168" s="60"/>
      <x:c r="N168" s="60"/>
      <x:c r="O168" s="60" t="str">
        <x:v>Snapshot only — live RPC pull not run in this workbook</x:v>
      </x:c>
      <x:c r="P168" s="60" t="str">
        <x:v>Atropa snapshot 2025-02-27 / atropa-tokens JSON</x:v>
      </x:c>
    </x:row>
    <x:row r="169">
      <x:c r="A169" s="60" t="str">
        <x:v>Lanolin</x:v>
      </x:c>
      <x:c r="B169" s="60" t="str">
        <x:v>COCAINE</x:v>
      </x:c>
      <x:c r="C169" s="60" t="str">
        <x:v>0xC2F43EdD0bedC81003D75E33c6E34c8Da0f16604</x:v>
      </x:c>
      <x:c r="D169" s="67" t="n">
        <x:v>99</x:v>
      </x:c>
      <x:c r="E169" s="67"/>
      <x:c r="F169" s="67"/>
      <x:c r="G169" s="67"/>
      <x:c r="H169" s="67"/>
      <x:c r="I169" s="67"/>
      <x:c r="J169" s="60"/>
      <x:c r="K169" s="60"/>
      <x:c r="L169" s="60"/>
      <x:c r="M169" s="60"/>
      <x:c r="N169" s="60"/>
      <x:c r="O169" s="60" t="str">
        <x:v>Snapshot only — live RPC pull not run in this workbook</x:v>
      </x:c>
      <x:c r="P169" s="60" t="str">
        <x:v>Atropa snapshot 2025-02-27 / atropa-tokens JSON</x:v>
      </x:c>
    </x:row>
    <x:row r="170">
      <x:c r="A170" s="60" t="str">
        <x:v>Archdiocese Of Alabama</x:v>
      </x:c>
      <x:c r="B170" s="60" t="str">
        <x:v>EXIMIA</x:v>
      </x:c>
      <x:c r="C170" s="60" t="str">
        <x:v>0x99717F0924F10beb9b818Ae018914B94fa047fA6</x:v>
      </x:c>
      <x:c r="D170" s="67" t="n">
        <x:v>666</x:v>
      </x:c>
      <x:c r="E170" s="67"/>
      <x:c r="F170" s="67"/>
      <x:c r="G170" s="67"/>
      <x:c r="H170" s="67"/>
      <x:c r="I170" s="67"/>
      <x:c r="J170" s="60"/>
      <x:c r="K170" s="60"/>
      <x:c r="L170" s="60"/>
      <x:c r="M170" s="60"/>
      <x:c r="N170" s="60"/>
      <x:c r="O170" s="60" t="str">
        <x:v>Snapshot only — live RPC pull not run in this workbook</x:v>
      </x:c>
      <x:c r="P170" s="60" t="str">
        <x:v>Atropa snapshot 2025-02-27 / atropa-tokens JSON</x:v>
      </x:c>
    </x:row>
    <x:row r="171">
      <x:c r="A171" s="60" t="str">
        <x:v>Lurleen Burns Wallace</x:v>
      </x:c>
      <x:c r="B171" s="60" t="str">
        <x:v>EPICURUS</x:v>
      </x:c>
      <x:c r="C171" s="60" t="str">
        <x:v>0x210FEBCfd632CE314A72C4a83f416CcfA3Bf847b</x:v>
      </x:c>
      <x:c r="D171" s="67" t="n">
        <x:v>666</x:v>
      </x:c>
      <x:c r="E171" s="67"/>
      <x:c r="F171" s="67"/>
      <x:c r="G171" s="67"/>
      <x:c r="H171" s="67"/>
      <x:c r="I171" s="67"/>
      <x:c r="J171" s="60"/>
      <x:c r="K171" s="60"/>
      <x:c r="L171" s="60"/>
      <x:c r="M171" s="60"/>
      <x:c r="N171" s="60"/>
      <x:c r="O171" s="60" t="str">
        <x:v>Snapshot only — live RPC pull not run in this workbook</x:v>
      </x:c>
      <x:c r="P171" s="60" t="str">
        <x:v>Atropa snapshot 2025-02-27 / atropa-tokens JSON</x:v>
      </x:c>
    </x:row>
    <x:row r="172">
      <x:c r="A172" s="60" t="str">
        <x:v>Secretary Of The United States Department Of Homeland Security</x:v>
      </x:c>
      <x:c r="B172" s="60" t="str">
        <x:v>JETHRO</x:v>
      </x:c>
      <x:c r="C172" s="60" t="str">
        <x:v>0x7ecB028b1d2c371e8BdccDaAdd39C73BD5019FcA</x:v>
      </x:c>
      <x:c r="D172" s="67" t="n">
        <x:v>0</x:v>
      </x:c>
      <x:c r="E172" s="67"/>
      <x:c r="F172" s="67"/>
      <x:c r="G172" s="67"/>
      <x:c r="H172" s="67"/>
      <x:c r="I172" s="67"/>
      <x:c r="J172" s="60"/>
      <x:c r="K172" s="60"/>
      <x:c r="L172" s="60"/>
      <x:c r="M172" s="60"/>
      <x:c r="N172" s="60"/>
      <x:c r="O172" s="60" t="str">
        <x:v>Snapshot only — live RPC pull not run in this workbook</x:v>
      </x:c>
      <x:c r="P172" s="60" t="str">
        <x:v>Atropa snapshot 2025-02-27 / atropa-tokens JSON</x:v>
      </x:c>
    </x:row>
    <x:row r="173">
      <x:c r="A173" s="60" t="str">
        <x:v>President Of The United States Of American</x:v>
      </x:c>
      <x:c r="B173" s="60" t="str">
        <x:v>CLETUS</x:v>
      </x:c>
      <x:c r="C173" s="60" t="str">
        <x:v>0x9388775D774cd477673931327b7e36b0CCC5D3A5</x:v>
      </x:c>
      <x:c r="D173" s="67" t="n">
        <x:v>666</x:v>
      </x:c>
      <x:c r="E173" s="67"/>
      <x:c r="F173" s="67"/>
      <x:c r="G173" s="67"/>
      <x:c r="H173" s="67"/>
      <x:c r="I173" s="67"/>
      <x:c r="J173" s="60"/>
      <x:c r="K173" s="60"/>
      <x:c r="L173" s="60"/>
      <x:c r="M173" s="60"/>
      <x:c r="N173" s="60"/>
      <x:c r="O173" s="60" t="str">
        <x:v>Snapshot only — live RPC pull not run in this workbook</x:v>
      </x:c>
      <x:c r="P173" s="60" t="str">
        <x:v>Atropa snapshot 2025-02-27 / atropa-tokens JSON</x:v>
      </x:c>
    </x:row>
    <x:row r="174">
      <x:c r="A174" s="60" t="str">
        <x:v>The Blood King</x:v>
      </x:c>
      <x:c r="B174" s="60" t="str">
        <x:v>UBALDO</x:v>
      </x:c>
      <x:c r="C174" s="60" t="str">
        <x:v>0x0B04A3af4c4D562694707fb93B7BcA28C057DCB3</x:v>
      </x:c>
      <x:c r="D174" s="67" t="n">
        <x:v>0</x:v>
      </x:c>
      <x:c r="E174" s="67"/>
      <x:c r="F174" s="67"/>
      <x:c r="G174" s="67"/>
      <x:c r="H174" s="67"/>
      <x:c r="I174" s="67"/>
      <x:c r="J174" s="60"/>
      <x:c r="K174" s="60"/>
      <x:c r="L174" s="60"/>
      <x:c r="M174" s="60"/>
      <x:c r="N174" s="60"/>
      <x:c r="O174" s="60" t="str">
        <x:v>Snapshot only — live RPC pull not run in this workbook</x:v>
      </x:c>
      <x:c r="P174" s="60" t="str">
        <x:v>Atropa snapshot 2025-02-27 / atropa-tokens JSON</x:v>
      </x:c>
    </x:row>
    <x:row r="175">
      <x:c r="A175" s="60" t="str">
        <x:v>Uncle Tom</x:v>
      </x:c>
      <x:c r="B175" s="60" t="str">
        <x:v>פון טאם</x:v>
      </x:c>
      <x:c r="C175" s="60" t="str">
        <x:v>0x1235fC9d69a215b898a38CDD0129eeC13657b31f</x:v>
      </x:c>
      <x:c r="D175" s="67" t="n">
        <x:v>666</x:v>
      </x:c>
      <x:c r="E175" s="67"/>
      <x:c r="F175" s="67"/>
      <x:c r="G175" s="67"/>
      <x:c r="H175" s="67"/>
      <x:c r="I175" s="67"/>
      <x:c r="J175" s="60"/>
      <x:c r="K175" s="60"/>
      <x:c r="L175" s="60"/>
      <x:c r="M175" s="60"/>
      <x:c r="N175" s="60"/>
      <x:c r="O175" s="60" t="str">
        <x:v>Snapshot only — live RPC pull not run in this workbook</x:v>
      </x:c>
      <x:c r="P175" s="60" t="str">
        <x:v>Atropa snapshot 2025-02-27 / atropa-tokens JSON</x:v>
      </x:c>
    </x:row>
    <x:row r="176">
      <x:c r="A176" s="60" t="str">
        <x:v>💜 Purple Heart Recipient 💜</x:v>
      </x:c>
      <x:c r="B176" s="60" t="str">
        <x:v>DEVITATION</x:v>
      </x:c>
      <x:c r="C176" s="60" t="str">
        <x:v>0x345e15235A5a3D6F1a4A88234a7e611f14745475</x:v>
      </x:c>
      <x:c r="D176" s="67" t="n">
        <x:v>0</x:v>
      </x:c>
      <x:c r="E176" s="67"/>
      <x:c r="F176" s="67"/>
      <x:c r="G176" s="67"/>
      <x:c r="H176" s="67"/>
      <x:c r="I176" s="67"/>
      <x:c r="J176" s="60"/>
      <x:c r="K176" s="60"/>
      <x:c r="L176" s="60"/>
      <x:c r="M176" s="60"/>
      <x:c r="N176" s="60"/>
      <x:c r="O176" s="60" t="str">
        <x:v>Snapshot only — live RPC pull not run in this workbook</x:v>
      </x:c>
      <x:c r="P176" s="60" t="str">
        <x:v>Atropa snapshot 2025-02-27 / atropa-tokens JSON</x:v>
      </x:c>
    </x:row>
    <x:row r="177">
      <x:c r="A177" s="60" t="str">
        <x:v>MANDATE</x:v>
      </x:c>
      <x:c r="B177" s="60" t="str">
        <x:v>𘥿</x:v>
      </x:c>
      <x:c r="C177" s="60" t="str">
        <x:v>0x71448a8888E5272C9B5B9a72a336eAdF68b30FC2</x:v>
      </x:c>
      <x:c r="D177" s="67" t="n">
        <x:v>666</x:v>
      </x:c>
      <x:c r="E177" s="67"/>
      <x:c r="F177" s="67"/>
      <x:c r="G177" s="67"/>
      <x:c r="H177" s="67"/>
      <x:c r="I177" s="67"/>
      <x:c r="J177" s="60"/>
      <x:c r="K177" s="60"/>
      <x:c r="L177" s="60"/>
      <x:c r="M177" s="60"/>
      <x:c r="N177" s="60"/>
      <x:c r="O177" s="60" t="str">
        <x:v>Snapshot only — live RPC pull not run in this workbook</x:v>
      </x:c>
      <x:c r="P177" s="60" t="str">
        <x:v>Atropa snapshot 2025-02-27 / atropa-tokens JSON</x:v>
      </x:c>
    </x:row>
    <x:row r="178">
      <x:c r="A178" s="60" t="str">
        <x:v>Epsom Salts</x:v>
      </x:c>
      <x:c r="B178" s="60" t="str">
        <x:v>COMBAT™</x:v>
      </x:c>
      <x:c r="C178" s="60" t="str">
        <x:v>0xCb0400D5dC95c1d59cfDde7497d4Afe06b3900c7</x:v>
      </x:c>
      <x:c r="D178" s="67" t="n">
        <x:v>0</x:v>
      </x:c>
      <x:c r="E178" s="67"/>
      <x:c r="F178" s="67"/>
      <x:c r="G178" s="67"/>
      <x:c r="H178" s="67"/>
      <x:c r="I178" s="67"/>
      <x:c r="J178" s="60"/>
      <x:c r="K178" s="60"/>
      <x:c r="L178" s="60"/>
      <x:c r="M178" s="60"/>
      <x:c r="N178" s="60"/>
      <x:c r="O178" s="60" t="str">
        <x:v>Snapshot only — live RPC pull not run in this workbook</x:v>
      </x:c>
      <x:c r="P178" s="60" t="str">
        <x:v>Atropa snapshot 2025-02-27 / atropa-tokens JSON</x:v>
      </x:c>
    </x:row>
    <x:row r="179">
      <x:c r="A179" s="60" t="str">
        <x:v>Ի</x:v>
      </x:c>
      <x:c r="B179" s="60" t="str">
        <x:v>ևՓՋՃՄ</x:v>
      </x:c>
      <x:c r="C179" s="60" t="str">
        <x:v>0x81625Dc44101400B0329e9E590CAEe997821Fbb1</x:v>
      </x:c>
      <x:c r="D179" s="67" t="n">
        <x:v>1</x:v>
      </x:c>
      <x:c r="E179" s="67"/>
      <x:c r="F179" s="67"/>
      <x:c r="G179" s="67"/>
      <x:c r="H179" s="67"/>
      <x:c r="I179" s="67"/>
      <x:c r="J179" s="60"/>
      <x:c r="K179" s="60"/>
      <x:c r="L179" s="60"/>
      <x:c r="M179" s="60"/>
      <x:c r="N179" s="60"/>
      <x:c r="O179" s="60" t="str">
        <x:v>Snapshot only — live RPC pull not run in this workbook</x:v>
      </x:c>
      <x:c r="P179" s="60" t="str">
        <x:v>Atropa snapshot 2025-02-27 / atropa-tokens JSON</x:v>
      </x:c>
    </x:row>
    <x:row r="180">
      <x:c r="A180" s="60" t="str">
        <x:v>MENSA™</x:v>
      </x:c>
      <x:c r="B180" s="60" t="str">
        <x:v>𑈫𑈤𑈂𑈥𑈩𑈇𑈫</x:v>
      </x:c>
      <x:c r="C180" s="60" t="str">
        <x:v>0x7325bB0568725Fd4b53AB75Ce021ad8FF764490d</x:v>
      </x:c>
      <x:c r="D180" s="67" t="n">
        <x:v>666</x:v>
      </x:c>
      <x:c r="E180" s="67"/>
      <x:c r="F180" s="67"/>
      <x:c r="G180" s="67"/>
      <x:c r="H180" s="67"/>
      <x:c r="I180" s="67"/>
      <x:c r="J180" s="60"/>
      <x:c r="K180" s="60"/>
      <x:c r="L180" s="60"/>
      <x:c r="M180" s="60"/>
      <x:c r="N180" s="60"/>
      <x:c r="O180" s="60" t="str">
        <x:v>Snapshot only — live RPC pull not run in this workbook</x:v>
      </x:c>
      <x:c r="P180" s="60" t="str">
        <x:v>Atropa snapshot 2025-02-27 / atropa-tokens JSON</x:v>
      </x:c>
    </x:row>
    <x:row r="181">
      <x:c r="A181" s="60" t="str">
        <x:v>Oprah Winfrey</x:v>
      </x:c>
      <x:c r="B181" s="60" t="str">
        <x:v>𑩄𑩀𑨱𑨫𑨞𑨿𑩄</x:v>
      </x:c>
      <x:c r="C181" s="60" t="str">
        <x:v>0xD486088912F40e3D6f196E7CdC6ceAE68a93803f</x:v>
      </x:c>
      <x:c r="D181" s="67" t="n">
        <x:v>666</x:v>
      </x:c>
      <x:c r="E181" s="67"/>
      <x:c r="F181" s="67"/>
      <x:c r="G181" s="67"/>
      <x:c r="H181" s="67"/>
      <x:c r="I181" s="67"/>
      <x:c r="J181" s="60"/>
      <x:c r="K181" s="60"/>
      <x:c r="L181" s="60"/>
      <x:c r="M181" s="60"/>
      <x:c r="N181" s="60"/>
      <x:c r="O181" s="60" t="str">
        <x:v>Snapshot only — live RPC pull not run in this workbook</x:v>
      </x:c>
      <x:c r="P181" s="60" t="str">
        <x:v>Atropa snapshot 2025-02-27 / atropa-tokens JSON</x:v>
      </x:c>
    </x:row>
    <x:row r="182">
      <x:c r="A182" s="60" t="str">
        <x:v>Žižek</x:v>
      </x:c>
      <x:c r="B182" s="60" t="str">
        <x:v>ŽIŽEK</x:v>
      </x:c>
      <x:c r="C182" s="60" t="str">
        <x:v>0xe2e1a5d691cCB9E88b84e23A1166B4e6Bd6904Dc</x:v>
      </x:c>
      <x:c r="D182" s="67" t="n">
        <x:v>5000</x:v>
      </x:c>
      <x:c r="E182" s="67"/>
      <x:c r="F182" s="67"/>
      <x:c r="G182" s="67"/>
      <x:c r="H182" s="67"/>
      <x:c r="I182" s="67"/>
      <x:c r="J182" s="60"/>
      <x:c r="K182" s="60"/>
      <x:c r="L182" s="60"/>
      <x:c r="M182" s="60"/>
      <x:c r="N182" s="60"/>
      <x:c r="O182" s="60" t="str">
        <x:v>Snapshot only — live RPC pull not run in this workbook</x:v>
      </x:c>
      <x:c r="P182" s="60" t="str">
        <x:v>Atropa snapshot 2025-02-27 / atropa-tokens JSON</x:v>
      </x:c>
    </x:row>
    <x:row r="183">
      <x:c r="A183" s="60" t="str">
        <x:v>Bob Dylan</x:v>
      </x:c>
      <x:c r="B183" s="60" t="str">
        <x:v>BARD</x:v>
      </x:c>
      <x:c r="C183" s="60" t="str">
        <x:v>0x502b41adabFf7A93C8D742eb2576D2871bdb2bA1</x:v>
      </x:c>
      <x:c r="D183" s="67" t="n">
        <x:v>666</x:v>
      </x:c>
      <x:c r="E183" s="67"/>
      <x:c r="F183" s="67"/>
      <x:c r="G183" s="67"/>
      <x:c r="H183" s="67"/>
      <x:c r="I183" s="67"/>
      <x:c r="J183" s="60"/>
      <x:c r="K183" s="60"/>
      <x:c r="L183" s="60"/>
      <x:c r="M183" s="60"/>
      <x:c r="N183" s="60"/>
      <x:c r="O183" s="60" t="str">
        <x:v>Snapshot only — live RPC pull not run in this workbook</x:v>
      </x:c>
      <x:c r="P183" s="60" t="str">
        <x:v>Atropa snapshot 2025-02-27 / atropa-tokens JSON</x:v>
      </x:c>
    </x:row>
    <x:row r="184">
      <x:c r="A184" s="60" t="str">
        <x:v>Johann Konrad Bolleter</x:v>
      </x:c>
      <x:c r="B184" s="60" t="str">
        <x:v>LANKERSHIM</x:v>
      </x:c>
      <x:c r="C184" s="60" t="str">
        <x:v>0xC659Cc2cc464c85e9dc498A3DeF5dC01670C50c6</x:v>
      </x:c>
      <x:c r="D184" s="67" t="n">
        <x:v>666</x:v>
      </x:c>
      <x:c r="E184" s="67"/>
      <x:c r="F184" s="67"/>
      <x:c r="G184" s="67"/>
      <x:c r="H184" s="67"/>
      <x:c r="I184" s="67"/>
      <x:c r="J184" s="60"/>
      <x:c r="K184" s="60"/>
      <x:c r="L184" s="60"/>
      <x:c r="M184" s="60"/>
      <x:c r="N184" s="60"/>
      <x:c r="O184" s="60" t="str">
        <x:v>Snapshot only — live RPC pull not run in this workbook</x:v>
      </x:c>
      <x:c r="P184" s="60" t="str">
        <x:v>Atropa snapshot 2025-02-27 / atropa-tokens JSON</x:v>
      </x:c>
    </x:row>
    <x:row r="185">
      <x:c r="A185" s="60" t="str">
        <x:v>Lillies</x:v>
      </x:c>
      <x:c r="B185" s="60" t="str">
        <x:v>𑚇𑚂𑚥𑚃𑚥</x:v>
      </x:c>
      <x:c r="C185" s="60" t="str">
        <x:v>0xE949a217809d1Fab4018E22d6810500399951dAE</x:v>
      </x:c>
      <x:c r="D185" s="67" t="n">
        <x:v>8000</x:v>
      </x:c>
      <x:c r="E185" s="67"/>
      <x:c r="F185" s="67"/>
      <x:c r="G185" s="67"/>
      <x:c r="H185" s="67"/>
      <x:c r="I185" s="67"/>
      <x:c r="J185" s="60"/>
      <x:c r="K185" s="60"/>
      <x:c r="L185" s="60"/>
      <x:c r="M185" s="60"/>
      <x:c r="N185" s="60"/>
      <x:c r="O185" s="60" t="str">
        <x:v>Snapshot only — live RPC pull not run in this workbook</x:v>
      </x:c>
      <x:c r="P185" s="60" t="str">
        <x:v>Atropa snapshot 2025-02-27 / atropa-tokens JSON</x:v>
      </x:c>
    </x:row>
    <x:row r="186">
      <x:c r="A186" s="60" t="str">
        <x:v>Uniswap™</x:v>
      </x:c>
      <x:c r="B186" s="60" t="str">
        <x:v>🈹</x:v>
      </x:c>
      <x:c r="C186" s="60" t="str">
        <x:v>0xe981Ced8B779eB052882aEDCddDe8C07C532fadc</x:v>
      </x:c>
      <x:c r="D186" s="67" t="n">
        <x:v>666</x:v>
      </x:c>
      <x:c r="E186" s="67"/>
      <x:c r="F186" s="67"/>
      <x:c r="G186" s="67"/>
      <x:c r="H186" s="67"/>
      <x:c r="I186" s="67"/>
      <x:c r="J186" s="60"/>
      <x:c r="K186" s="60"/>
      <x:c r="L186" s="60"/>
      <x:c r="M186" s="60"/>
      <x:c r="N186" s="60"/>
      <x:c r="O186" s="60" t="str">
        <x:v>Snapshot only — live RPC pull not run in this workbook</x:v>
      </x:c>
      <x:c r="P186" s="60" t="str">
        <x:v>Atropa snapshot 2025-02-27 / atropa-tokens JSON</x:v>
      </x:c>
    </x:row>
    <x:row r="187">
      <x:c r="A187" s="60" t="str">
        <x:v>全能神教会</x:v>
      </x:c>
      <x:c r="B187" s="60" t="str">
        <x:v>东方闪电</x:v>
      </x:c>
      <x:c r="C187" s="60" t="str">
        <x:v>0xCD6159D0a1aaE415E0c1504E90A5d741A28afc98</x:v>
      </x:c>
      <x:c r="D187" s="67" t="n">
        <x:v>777</x:v>
      </x:c>
      <x:c r="E187" s="67"/>
      <x:c r="F187" s="67"/>
      <x:c r="G187" s="67"/>
      <x:c r="H187" s="67"/>
      <x:c r="I187" s="67"/>
      <x:c r="J187" s="60"/>
      <x:c r="K187" s="60"/>
      <x:c r="L187" s="60"/>
      <x:c r="M187" s="60"/>
      <x:c r="N187" s="60"/>
      <x:c r="O187" s="60" t="str">
        <x:v>Snapshot only — live RPC pull not run in this workbook</x:v>
      </x:c>
      <x:c r="P187" s="60" t="str">
        <x:v>Atropa snapshot 2025-02-27 / atropa-tokens JSON</x:v>
      </x:c>
    </x:row>
    <x:row r="188">
      <x:c r="A188" s="60" t="str">
        <x:v>The Bradford Club</x:v>
      </x:c>
      <x:c r="B188" s="60" t="str">
        <x:v>GRAND CRUS</x:v>
      </x:c>
      <x:c r="C188" s="60" t="str">
        <x:v>0x45101A71dE96219A70671b0D6975F92E99eff8A9</x:v>
      </x:c>
      <x:c r="D188" s="67" t="n">
        <x:v>666</x:v>
      </x:c>
      <x:c r="E188" s="67"/>
      <x:c r="F188" s="67"/>
      <x:c r="G188" s="67"/>
      <x:c r="H188" s="67"/>
      <x:c r="I188" s="67"/>
      <x:c r="J188" s="60"/>
      <x:c r="K188" s="60"/>
      <x:c r="L188" s="60"/>
      <x:c r="M188" s="60"/>
      <x:c r="N188" s="60"/>
      <x:c r="O188" s="60" t="str">
        <x:v>Snapshot only — live RPC pull not run in this workbook</x:v>
      </x:c>
      <x:c r="P188" s="60" t="str">
        <x:v>Atropa snapshot 2025-02-27 / atropa-tokens JSON</x:v>
      </x:c>
    </x:row>
    <x:row r="189">
      <x:c r="A189" s="60" t="str">
        <x:v>The Bannatyne Club</x:v>
      </x:c>
      <x:c r="B189" s="60" t="str">
        <x:v>PETIT CRUS</x:v>
      </x:c>
      <x:c r="C189" s="60" t="str">
        <x:v>0x1F6972A02b947f959466fB16EA822f969800D144</x:v>
      </x:c>
      <x:c r="D189" s="67" t="n">
        <x:v>666</x:v>
      </x:c>
      <x:c r="E189" s="67"/>
      <x:c r="F189" s="67"/>
      <x:c r="G189" s="67"/>
      <x:c r="H189" s="67"/>
      <x:c r="I189" s="67"/>
      <x:c r="J189" s="60"/>
      <x:c r="K189" s="60"/>
      <x:c r="L189" s="60"/>
      <x:c r="M189" s="60"/>
      <x:c r="N189" s="60"/>
      <x:c r="O189" s="60" t="str">
        <x:v>Snapshot only — live RPC pull not run in this workbook</x:v>
      </x:c>
      <x:c r="P189" s="60" t="str">
        <x:v>Atropa snapshot 2025-02-27 / atropa-tokens JSON</x:v>
      </x:c>
    </x:row>
    <x:row r="190">
      <x:c r="A190" s="60" t="str">
        <x:v>American Engineers' Council for Professional Development</x:v>
      </x:c>
      <x:c r="B190" s="60" t="str">
        <x:v>سلطنة عُمان</x:v>
      </x:c>
      <x:c r="C190" s="60" t="str">
        <x:v>0x320252f4218271184967e090Ad000Dc4b50E51b6</x:v>
      </x:c>
      <x:c r="D190" s="67" t="n">
        <x:v>666</x:v>
      </x:c>
      <x:c r="E190" s="67"/>
      <x:c r="F190" s="67"/>
      <x:c r="G190" s="67"/>
      <x:c r="H190" s="67"/>
      <x:c r="I190" s="67"/>
      <x:c r="J190" s="60"/>
      <x:c r="K190" s="60"/>
      <x:c r="L190" s="60"/>
      <x:c r="M190" s="60"/>
      <x:c r="N190" s="60"/>
      <x:c r="O190" s="60" t="str">
        <x:v>Snapshot only — live RPC pull not run in this workbook</x:v>
      </x:c>
      <x:c r="P190" s="60" t="str">
        <x:v>Atropa snapshot 2025-02-27 / atropa-tokens JSON</x:v>
      </x:c>
    </x:row>
    <x:row r="191">
      <x:c r="A191" s="60" t="str">
        <x:v>American Institute of Mining, Metallurgical, and Petroleum Engineers</x:v>
      </x:c>
      <x:c r="B191" s="60" t="str">
        <x:v>MURDER™</x:v>
      </x:c>
      <x:c r="C191" s="60" t="str">
        <x:v>0x1b98fCc59Ef301F22F6Af49F3aAB9794f9D0EE74</x:v>
      </x:c>
      <x:c r="D191" s="67" t="n">
        <x:v>666</x:v>
      </x:c>
      <x:c r="E191" s="67"/>
      <x:c r="F191" s="67"/>
      <x:c r="G191" s="67"/>
      <x:c r="H191" s="67"/>
      <x:c r="I191" s="67"/>
      <x:c r="J191" s="60"/>
      <x:c r="K191" s="60"/>
      <x:c r="L191" s="60"/>
      <x:c r="M191" s="60"/>
      <x:c r="N191" s="60"/>
      <x:c r="O191" s="60" t="str">
        <x:v>Snapshot only — live RPC pull not run in this workbook</x:v>
      </x:c>
      <x:c r="P191" s="60" t="str">
        <x:v>Atropa snapshot 2025-02-27 / atropa-tokens JSON</x:v>
      </x:c>
    </x:row>
    <x:row r="192">
      <x:c r="A192" s="60" t="str">
        <x:v>Innit ™</x:v>
      </x:c>
      <x:c r="B192" s="60" t="str">
        <x:v>ACAB</x:v>
      </x:c>
      <x:c r="C192" s="60" t="str">
        <x:v>0x241DA2613b0A01C2f60acB636b21A8E082E2f2F0</x:v>
      </x:c>
      <x:c r="D192" s="67" t="n">
        <x:v>5555</x:v>
      </x:c>
      <x:c r="E192" s="67"/>
      <x:c r="F192" s="67"/>
      <x:c r="G192" s="67"/>
      <x:c r="H192" s="67"/>
      <x:c r="I192" s="67"/>
      <x:c r="J192" s="60"/>
      <x:c r="K192" s="60"/>
      <x:c r="L192" s="60"/>
      <x:c r="M192" s="60"/>
      <x:c r="N192" s="60"/>
      <x:c r="O192" s="60" t="str">
        <x:v>Snapshot only — live RPC pull not run in this workbook</x:v>
      </x:c>
      <x:c r="P192" s="60" t="str">
        <x:v>Atropa snapshot 2025-02-27 / atropa-tokens JSON</x:v>
      </x:c>
    </x:row>
    <x:row r="193">
      <x:c r="A193" s="60" t="str">
        <x:v>Public Record</x:v>
      </x:c>
      <x:c r="B193" s="60" t="str">
        <x:v>BAIL™</x:v>
      </x:c>
      <x:c r="C193" s="60" t="str">
        <x:v>0x8B16115fF716b4c52706122cb4e974f7a72E5Af1</x:v>
      </x:c>
      <x:c r="D193" s="67" t="n">
        <x:v>1</x:v>
      </x:c>
      <x:c r="E193" s="67"/>
      <x:c r="F193" s="67"/>
      <x:c r="G193" s="67"/>
      <x:c r="H193" s="67"/>
      <x:c r="I193" s="67"/>
      <x:c r="J193" s="60"/>
      <x:c r="K193" s="60"/>
      <x:c r="L193" s="60"/>
      <x:c r="M193" s="60"/>
      <x:c r="N193" s="60"/>
      <x:c r="O193" s="60" t="str">
        <x:v>Snapshot only — live RPC pull not run in this workbook</x:v>
      </x:c>
      <x:c r="P193" s="60" t="str">
        <x:v>Atropa snapshot 2025-02-27 / atropa-tokens JSON</x:v>
      </x:c>
    </x:row>
    <x:row r="194">
      <x:c r="A194" s="60" t="str">
        <x:v>Happy "Julius Caesar" Rockefeller</x:v>
      </x:c>
      <x:c r="B194" s="60" t="str">
        <x:v>FAKE™</x:v>
      </x:c>
      <x:c r="C194" s="60" t="str">
        <x:v>0x33F3355727E4F00D6422BF0a7BdE6036FDF48bB5</x:v>
      </x:c>
      <x:c r="D194" s="67" t="n">
        <x:v>666</x:v>
      </x:c>
      <x:c r="E194" s="67"/>
      <x:c r="F194" s="67"/>
      <x:c r="G194" s="67"/>
      <x:c r="H194" s="67"/>
      <x:c r="I194" s="67"/>
      <x:c r="J194" s="60"/>
      <x:c r="K194" s="60"/>
      <x:c r="L194" s="60"/>
      <x:c r="M194" s="60"/>
      <x:c r="N194" s="60"/>
      <x:c r="O194" s="60" t="str">
        <x:v>Snapshot only — live RPC pull not run in this workbook</x:v>
      </x:c>
      <x:c r="P194" s="60" t="str">
        <x:v>Atropa snapshot 2025-02-27 / atropa-tokens JSON</x:v>
      </x:c>
    </x:row>
    <x:row r="195">
      <x:c r="A195" s="60" t="str">
        <x:v>Sound Castle Coloring Book</x:v>
      </x:c>
      <x:c r="B195" s="60" t="str">
        <x:v>SECURITY™</x:v>
      </x:c>
      <x:c r="C195" s="60" t="str">
        <x:v>0x2234da59c2D5EDB197594C95dbbA7a99Bcd91230</x:v>
      </x:c>
      <x:c r="D195" s="67" t="n">
        <x:v>666</x:v>
      </x:c>
      <x:c r="E195" s="67"/>
      <x:c r="F195" s="67"/>
      <x:c r="G195" s="67"/>
      <x:c r="H195" s="67"/>
      <x:c r="I195" s="67"/>
      <x:c r="J195" s="60"/>
      <x:c r="K195" s="60"/>
      <x:c r="L195" s="60"/>
      <x:c r="M195" s="60"/>
      <x:c r="N195" s="60"/>
      <x:c r="O195" s="60" t="str">
        <x:v>Snapshot only — live RPC pull not run in this workbook</x:v>
      </x:c>
      <x:c r="P195" s="60" t="str">
        <x:v>Atropa snapshot 2025-02-27 / atropa-tokens JSON</x:v>
      </x:c>
    </x:row>
    <x:row r="196">
      <x:c r="A196" s="60" t="str">
        <x:v>HEXiKo_O</x:v>
      </x:c>
      <x:c r="B196" s="60" t="str">
        <x:v>ROYALTY™</x:v>
      </x:c>
      <x:c r="C196" s="60" t="str">
        <x:v>0x07f7dDC83678EcB76C9C4Df1a80eBD2Fc39bb654</x:v>
      </x:c>
      <x:c r="D196" s="67" t="n">
        <x:v>313</x:v>
      </x:c>
      <x:c r="E196" s="67"/>
      <x:c r="F196" s="67"/>
      <x:c r="G196" s="67"/>
      <x:c r="H196" s="67"/>
      <x:c r="I196" s="67"/>
      <x:c r="J196" s="60"/>
      <x:c r="K196" s="60"/>
      <x:c r="L196" s="60"/>
      <x:c r="M196" s="60"/>
      <x:c r="N196" s="60"/>
      <x:c r="O196" s="60" t="str">
        <x:v>Snapshot only — live RPC pull not run in this workbook</x:v>
      </x:c>
      <x:c r="P196" s="60" t="str">
        <x:v>Atropa snapshot 2025-02-27 / atropa-tokens JSON</x:v>
      </x:c>
    </x:row>
    <x:row r="197">
      <x:c r="A197" s="60" t="str">
        <x:v>HEXiKo_O</x:v>
      </x:c>
      <x:c r="B197" s="60" t="str">
        <x:v>ROYALTY™</x:v>
      </x:c>
      <x:c r="C197" s="60" t="str">
        <x:v>0xd4554A12470050353A0865BFA9051372Ccb1038F</x:v>
      </x:c>
      <x:c r="D197" s="67" t="n">
        <x:v>131</x:v>
      </x:c>
      <x:c r="E197" s="67"/>
      <x:c r="F197" s="67"/>
      <x:c r="G197" s="67"/>
      <x:c r="H197" s="67"/>
      <x:c r="I197" s="67"/>
      <x:c r="J197" s="60"/>
      <x:c r="K197" s="60"/>
      <x:c r="L197" s="60"/>
      <x:c r="M197" s="60"/>
      <x:c r="N197" s="60"/>
      <x:c r="O197" s="60" t="str">
        <x:v>Snapshot only — live RPC pull not run in this workbook</x:v>
      </x:c>
      <x:c r="P197" s="60" t="str">
        <x:v>Atropa snapshot 2025-02-27 / atropa-tokens JSON</x:v>
      </x:c>
    </x:row>
    <x:row r="198">
      <x:c r="A198" s="60" t="str">
        <x:v>HEXiKo_O</x:v>
      </x:c>
      <x:c r="B198" s="60" t="str">
        <x:v>ROYALTY™</x:v>
      </x:c>
      <x:c r="C198" s="60" t="str">
        <x:v>0x054d43EF7c9cCF5b8ebf5e7120B32Ff6B429CC05</x:v>
      </x:c>
      <x:c r="D198" s="67" t="n">
        <x:v>112</x:v>
      </x:c>
      <x:c r="E198" s="67"/>
      <x:c r="F198" s="67"/>
      <x:c r="G198" s="67"/>
      <x:c r="H198" s="67"/>
      <x:c r="I198" s="67"/>
      <x:c r="J198" s="60"/>
      <x:c r="K198" s="60"/>
      <x:c r="L198" s="60"/>
      <x:c r="M198" s="60"/>
      <x:c r="N198" s="60"/>
      <x:c r="O198" s="60" t="str">
        <x:v>Snapshot only — live RPC pull not run in this workbook</x:v>
      </x:c>
      <x:c r="P198" s="60" t="str">
        <x:v>Atropa snapshot 2025-02-27 / atropa-tokens JSON</x:v>
      </x:c>
    </x:row>
    <x:row r="199">
      <x:c r="A199" s="60" t="str">
        <x:v>HEXiKo_O</x:v>
      </x:c>
      <x:c r="B199" s="60" t="str">
        <x:v>ROYALTY™</x:v>
      </x:c>
      <x:c r="C199" s="60" t="str">
        <x:v>0x7181D563D8F06613B645EbA433751bf791A288E4</x:v>
      </x:c>
      <x:c r="D199" s="67" t="n">
        <x:v>100</x:v>
      </x:c>
      <x:c r="E199" s="67"/>
      <x:c r="F199" s="67"/>
      <x:c r="G199" s="67"/>
      <x:c r="H199" s="67"/>
      <x:c r="I199" s="67"/>
      <x:c r="J199" s="60"/>
      <x:c r="K199" s="60"/>
      <x:c r="L199" s="60"/>
      <x:c r="M199" s="60"/>
      <x:c r="N199" s="60"/>
      <x:c r="O199" s="60" t="str">
        <x:v>Snapshot only — live RPC pull not run in this workbook</x:v>
      </x:c>
      <x:c r="P199" s="60" t="str">
        <x:v>Atropa snapshot 2025-02-27 / atropa-tokens JSON</x:v>
      </x:c>
    </x:row>
    <x:row r="200">
      <x:c r="A200" s="60" t="str">
        <x:v>HEXiKo_O</x:v>
      </x:c>
      <x:c r="B200" s="60" t="str">
        <x:v>ROYALTY™</x:v>
      </x:c>
      <x:c r="C200" s="60" t="str">
        <x:v>0x9FD7441F440a16Ad65900b876E7879a70Dbb7813</x:v>
      </x:c>
      <x:c r="D200" s="67" t="n">
        <x:v>97</x:v>
      </x:c>
      <x:c r="E200" s="67"/>
      <x:c r="F200" s="67"/>
      <x:c r="G200" s="67"/>
      <x:c r="H200" s="67"/>
      <x:c r="I200" s="67"/>
      <x:c r="J200" s="60"/>
      <x:c r="K200" s="60"/>
      <x:c r="L200" s="60"/>
      <x:c r="M200" s="60"/>
      <x:c r="N200" s="60"/>
      <x:c r="O200" s="60" t="str">
        <x:v>Snapshot only — live RPC pull not run in this workbook</x:v>
      </x:c>
      <x:c r="P200" s="60" t="str">
        <x:v>Atropa snapshot 2025-02-27 / atropa-tokens JSON</x:v>
      </x:c>
    </x:row>
    <x:row r="201">
      <x:c r="A201" s="60" t="str">
        <x:v>HEXiKo_O</x:v>
      </x:c>
      <x:c r="B201" s="60" t="str">
        <x:v>ROYALTY™</x:v>
      </x:c>
      <x:c r="C201" s="60" t="str">
        <x:v>0x22b31C5e8d65Cc7e9410Bbd0769408b53B3dBe12</x:v>
      </x:c>
      <x:c r="D201" s="67" t="n">
        <x:v>92</x:v>
      </x:c>
      <x:c r="E201" s="67"/>
      <x:c r="F201" s="67"/>
      <x:c r="G201" s="67"/>
      <x:c r="H201" s="67"/>
      <x:c r="I201" s="67"/>
      <x:c r="J201" s="60"/>
      <x:c r="K201" s="60"/>
      <x:c r="L201" s="60"/>
      <x:c r="M201" s="60"/>
      <x:c r="N201" s="60"/>
      <x:c r="O201" s="60" t="str">
        <x:v>Snapshot only — live RPC pull not run in this workbook</x:v>
      </x:c>
      <x:c r="P201" s="60" t="str">
        <x:v>Atropa snapshot 2025-02-27 / atropa-tokens JSON</x:v>
      </x:c>
    </x:row>
    <x:row r="202">
      <x:c r="A202" s="60" t="str">
        <x:v>HEXiKo_O</x:v>
      </x:c>
      <x:c r="B202" s="60" t="str">
        <x:v>ROYALTY™</x:v>
      </x:c>
      <x:c r="C202" s="60" t="str">
        <x:v>0x15d2840Fe575873A3A1789fE8Db9124Ddb9FCA76</x:v>
      </x:c>
      <x:c r="D202" s="67" t="n">
        <x:v>5</x:v>
      </x:c>
      <x:c r="E202" s="67"/>
      <x:c r="F202" s="67"/>
      <x:c r="G202" s="67"/>
      <x:c r="H202" s="67"/>
      <x:c r="I202" s="67"/>
      <x:c r="J202" s="60"/>
      <x:c r="K202" s="60"/>
      <x:c r="L202" s="60"/>
      <x:c r="M202" s="60"/>
      <x:c r="N202" s="60"/>
      <x:c r="O202" s="60" t="str">
        <x:v>Snapshot only — live RPC pull not run in this workbook</x:v>
      </x:c>
      <x:c r="P202" s="60" t="str">
        <x:v>Atropa snapshot 2025-02-27 / atropa-tokens JSON</x:v>
      </x:c>
    </x:row>
    <x:row r="203">
      <x:c r="A203" s="60" t="str">
        <x:v>HEXiKo_O</x:v>
      </x:c>
      <x:c r="B203" s="60" t="str">
        <x:v>ROYALTY™</x:v>
      </x:c>
      <x:c r="C203" s="60" t="str">
        <x:v>0x6f6909bA6D083B3E76c15258C1Fc17F73bCdD7bB</x:v>
      </x:c>
      <x:c r="D203" s="67" t="n">
        <x:v>6</x:v>
      </x:c>
      <x:c r="E203" s="67"/>
      <x:c r="F203" s="67"/>
      <x:c r="G203" s="67"/>
      <x:c r="H203" s="67"/>
      <x:c r="I203" s="67"/>
      <x:c r="J203" s="60"/>
      <x:c r="K203" s="60"/>
      <x:c r="L203" s="60"/>
      <x:c r="M203" s="60"/>
      <x:c r="N203" s="60"/>
      <x:c r="O203" s="60" t="str">
        <x:v>Snapshot only — live RPC pull not run in this workbook</x:v>
      </x:c>
      <x:c r="P203" s="60" t="str">
        <x:v>Atropa snapshot 2025-02-27 / atropa-tokens JSON</x:v>
      </x:c>
    </x:row>
    <x:row r="204">
      <x:c r="A204" s="60" t="str">
        <x:v>HEXiKo_O</x:v>
      </x:c>
      <x:c r="B204" s="60" t="str">
        <x:v>ROYALTY™</x:v>
      </x:c>
      <x:c r="C204" s="60" t="str">
        <x:v>0xC6F085DE4f388a48ce2942857455147A37870086</x:v>
      </x:c>
      <x:c r="D204" s="67" t="n">
        <x:v>3</x:v>
      </x:c>
      <x:c r="E204" s="67"/>
      <x:c r="F204" s="67"/>
      <x:c r="G204" s="67"/>
      <x:c r="H204" s="67"/>
      <x:c r="I204" s="67"/>
      <x:c r="J204" s="60"/>
      <x:c r="K204" s="60"/>
      <x:c r="L204" s="60"/>
      <x:c r="M204" s="60"/>
      <x:c r="N204" s="60"/>
      <x:c r="O204" s="60" t="str">
        <x:v>Snapshot only — live RPC pull not run in this workbook</x:v>
      </x:c>
      <x:c r="P204" s="60" t="str">
        <x:v>Atropa snapshot 2025-02-27 / atropa-tokens JSON</x:v>
      </x:c>
    </x:row>
    <x:row r="205">
      <x:c r="A205" s="60" t="str">
        <x:v>Ryerson Department Of Mines</x:v>
      </x:c>
      <x:c r="B205" s="60" t="str">
        <x:v>NIGGER™</x:v>
      </x:c>
      <x:c r="C205" s="60" t="str">
        <x:v>0x80C105217885707BA0003ffAe7Ab01466E5E8488</x:v>
      </x:c>
      <x:c r="D205" s="67" t="n">
        <x:v>3</x:v>
      </x:c>
      <x:c r="E205" s="67"/>
      <x:c r="F205" s="67"/>
      <x:c r="G205" s="67"/>
      <x:c r="H205" s="67"/>
      <x:c r="I205" s="67"/>
      <x:c r="J205" s="60"/>
      <x:c r="K205" s="60"/>
      <x:c r="L205" s="60"/>
      <x:c r="M205" s="60"/>
      <x:c r="N205" s="60"/>
      <x:c r="O205" s="60" t="str">
        <x:v>Snapshot only — live RPC pull not run in this workbook</x:v>
      </x:c>
      <x:c r="P205" s="60" t="str">
        <x:v>Atropa snapshot 2025-02-27 / atropa-tokens JSON</x:v>
      </x:c>
    </x:row>
    <x:row r="206">
      <x:c r="A206" s="60" t="str">
        <x:v>Ditto</x:v>
      </x:c>
      <x:c r="B206" s="60" t="str">
        <x:v>DIBS™</x:v>
      </x:c>
      <x:c r="C206" s="60" t="str">
        <x:v>0xF2563864C22022deb03ce929c26C54033a69E9d5</x:v>
      </x:c>
      <x:c r="D206" s="67" t="n">
        <x:v>3</x:v>
      </x:c>
      <x:c r="E206" s="67"/>
      <x:c r="F206" s="67"/>
      <x:c r="G206" s="67"/>
      <x:c r="H206" s="67"/>
      <x:c r="I206" s="67"/>
      <x:c r="J206" s="60"/>
      <x:c r="K206" s="60"/>
      <x:c r="L206" s="60"/>
      <x:c r="M206" s="60"/>
      <x:c r="N206" s="60"/>
      <x:c r="O206" s="60" t="str">
        <x:v>Snapshot only — live RPC pull not run in this workbook</x:v>
      </x:c>
      <x:c r="P206" s="60" t="str">
        <x:v>Atropa snapshot 2025-02-27 / atropa-tokens JSON</x:v>
      </x:c>
    </x:row>
    <x:row r="207">
      <x:c r="A207" s="60" t="str">
        <x:v>YesNukes</x:v>
      </x:c>
      <x:c r="B207" s="60" t="str">
        <x:v>NUKES™</x:v>
      </x:c>
      <x:c r="C207" s="60" t="str">
        <x:v>0xA78feD26D175b4B2c83F69Ca3eA195123ca30381</x:v>
      </x:c>
      <x:c r="D207" s="67" t="n">
        <x:v>3</x:v>
      </x:c>
      <x:c r="E207" s="67"/>
      <x:c r="F207" s="67"/>
      <x:c r="G207" s="67"/>
      <x:c r="H207" s="67"/>
      <x:c r="I207" s="67"/>
      <x:c r="J207" s="60"/>
      <x:c r="K207" s="60"/>
      <x:c r="L207" s="60"/>
      <x:c r="M207" s="60"/>
      <x:c r="N207" s="60"/>
      <x:c r="O207" s="60" t="str">
        <x:v>Snapshot only — live RPC pull not run in this workbook</x:v>
      </x:c>
      <x:c r="P207" s="60" t="str">
        <x:v>Atropa snapshot 2025-02-27 / atropa-tokens JSON</x:v>
      </x:c>
    </x:row>
    <x:row r="208">
      <x:c r="A208" s="60" t="str">
        <x:v>Warning</x:v>
      </x:c>
      <x:c r="B208" s="60" t="str">
        <x:v>MUNITION™</x:v>
      </x:c>
      <x:c r="C208" s="60" t="str">
        <x:v>0xdF606c14351fd52bF502d5F60D105320CF5D99D5</x:v>
      </x:c>
      <x:c r="D208" s="67" t="n">
        <x:v>3</x:v>
      </x:c>
      <x:c r="E208" s="67"/>
      <x:c r="F208" s="67"/>
      <x:c r="G208" s="67"/>
      <x:c r="H208" s="67"/>
      <x:c r="I208" s="67"/>
      <x:c r="J208" s="60"/>
      <x:c r="K208" s="60"/>
      <x:c r="L208" s="60"/>
      <x:c r="M208" s="60"/>
      <x:c r="N208" s="60"/>
      <x:c r="O208" s="60" t="str">
        <x:v>Snapshot only — live RPC pull not run in this workbook</x:v>
      </x:c>
      <x:c r="P208" s="60" t="str">
        <x:v>Atropa snapshot 2025-02-27 / atropa-tokens JSON</x:v>
      </x:c>
    </x:row>
    <x:row r="209">
      <x:c r="A209" s="60" t="str">
        <x:v>Ginger</x:v>
      </x:c>
      <x:c r="B209" s="60" t="str">
        <x:v>GINGER™</x:v>
      </x:c>
      <x:c r="C209" s="60" t="str">
        <x:v>0xF65D7943E77569e76Ee060Aef84e243d7A34C496</x:v>
      </x:c>
      <x:c r="D209" s="67" t="n">
        <x:v>3</x:v>
      </x:c>
      <x:c r="E209" s="67"/>
      <x:c r="F209" s="67"/>
      <x:c r="G209" s="67"/>
      <x:c r="H209" s="67"/>
      <x:c r="I209" s="67"/>
      <x:c r="J209" s="60"/>
      <x:c r="K209" s="60"/>
      <x:c r="L209" s="60"/>
      <x:c r="M209" s="60"/>
      <x:c r="N209" s="60"/>
      <x:c r="O209" s="60" t="str">
        <x:v>Snapshot only — live RPC pull not run in this workbook</x:v>
      </x:c>
      <x:c r="P209" s="60" t="str">
        <x:v>Atropa snapshot 2025-02-27 / atropa-tokens JSON</x:v>
      </x:c>
    </x:row>
    <x:row r="210">
      <x:c r="A210" s="60" t="str">
        <x:v>Test Token</x:v>
      </x:c>
      <x:c r="B210" s="60" t="str">
        <x:v>UNDEPLOYED™</x:v>
      </x:c>
      <x:c r="C210" s="60" t="str">
        <x:v>0x744F1A65491cfD4A50b95C0d3CFF8095c4448848</x:v>
      </x:c>
      <x:c r="D210" s="67" t="n">
        <x:v>3</x:v>
      </x:c>
      <x:c r="E210" s="67"/>
      <x:c r="F210" s="67"/>
      <x:c r="G210" s="67"/>
      <x:c r="H210" s="67"/>
      <x:c r="I210" s="67"/>
      <x:c r="J210" s="60"/>
      <x:c r="K210" s="60"/>
      <x:c r="L210" s="60"/>
      <x:c r="M210" s="60"/>
      <x:c r="N210" s="60"/>
      <x:c r="O210" s="60" t="str">
        <x:v>Snapshot only — live RPC pull not run in this workbook</x:v>
      </x:c>
      <x:c r="P210" s="60" t="str">
        <x:v>Atropa snapshot 2025-02-27 / atropa-tokens JSON</x:v>
      </x:c>
    </x:row>
    <x:row r="211">
      <x:c r="A211" s="60" t="str">
        <x:v>Derivative Subsidy</x:v>
      </x:c>
      <x:c r="B211" s="60" t="str">
        <x:v>SUBSIDY™</x:v>
      </x:c>
      <x:c r="C211" s="60" t="str">
        <x:v>0xa9353a16cA53a2009fEBF62029F8555216588Fea</x:v>
      </x:c>
      <x:c r="D211" s="67" t="n">
        <x:v>1</x:v>
      </x:c>
      <x:c r="E211" s="67"/>
      <x:c r="F211" s="67"/>
      <x:c r="G211" s="67"/>
      <x:c r="H211" s="67"/>
      <x:c r="I211" s="67"/>
      <x:c r="J211" s="60"/>
      <x:c r="K211" s="60"/>
      <x:c r="L211" s="60"/>
      <x:c r="M211" s="60"/>
      <x:c r="N211" s="60"/>
      <x:c r="O211" s="60" t="str">
        <x:v>Snapshot only — live RPC pull not run in this workbook</x:v>
      </x:c>
      <x:c r="P211" s="60" t="str">
        <x:v>Atropa snapshot 2025-02-27 / atropa-tokens JSON</x:v>
      </x:c>
    </x:row>
    <x:row r="212">
      <x:c r="A212" s="60" t="str">
        <x:v>Integrative Hedge</x:v>
      </x:c>
      <x:c r="B212" s="60" t="str">
        <x:v>HEDGE</x:v>
      </x:c>
      <x:c r="C212" s="60" t="str">
        <x:v>0xEeFebC96EE38ef13C6196d2D9534E0e74383af00</x:v>
      </x:c>
      <x:c r="D212" s="67" t="n">
        <x:v>1</x:v>
      </x:c>
      <x:c r="E212" s="67"/>
      <x:c r="F212" s="67"/>
      <x:c r="G212" s="67"/>
      <x:c r="H212" s="67"/>
      <x:c r="I212" s="67"/>
      <x:c r="J212" s="60"/>
      <x:c r="K212" s="60"/>
      <x:c r="L212" s="60"/>
      <x:c r="M212" s="60"/>
      <x:c r="N212" s="60"/>
      <x:c r="O212" s="60" t="str">
        <x:v>Snapshot only — live RPC pull not run in this workbook</x:v>
      </x:c>
      <x:c r="P212" s="60" t="str">
        <x:v>Atropa snapshot 2025-02-27 / atropa-tokens JSON</x:v>
      </x:c>
    </x:row>
    <x:row r="213">
      <x:c r="A213" s="60" t="str">
        <x:v>Integrative Hedge</x:v>
      </x:c>
      <x:c r="B213" s="60" t="str">
        <x:v>HEDGE™</x:v>
      </x:c>
      <x:c r="C213" s="60" t="str">
        <x:v>0x088a0d204D02ABE2F8226122Ca2C54A01ce90704</x:v>
      </x:c>
      <x:c r="D213" s="67" t="n">
        <x:v>1</x:v>
      </x:c>
      <x:c r="E213" s="67"/>
      <x:c r="F213" s="67"/>
      <x:c r="G213" s="67"/>
      <x:c r="H213" s="67"/>
      <x:c r="I213" s="67"/>
      <x:c r="J213" s="60"/>
      <x:c r="K213" s="60"/>
      <x:c r="L213" s="60"/>
      <x:c r="M213" s="60"/>
      <x:c r="N213" s="60"/>
      <x:c r="O213" s="60" t="str">
        <x:v>Snapshot only — live RPC pull not run in this workbook</x:v>
      </x:c>
      <x:c r="P213" s="60" t="str">
        <x:v>Atropa snapshot 2025-02-27 / atropa-tokens JSON</x:v>
      </x:c>
    </x:row>
    <x:row r="214">
      <x:c r="A214" s="60" t="str">
        <x:v>Integrative Hedge</x:v>
      </x:c>
      <x:c r="B214" s="60" t="str">
        <x:v>HEDGE™</x:v>
      </x:c>
      <x:c r="C214" s="60" t="str">
        <x:v>0x7ec9043c321A8759Ee5F917Da943979EC70Cf8e3</x:v>
      </x:c>
      <x:c r="D214" s="67" t="n">
        <x:v>1</x:v>
      </x:c>
      <x:c r="E214" s="67"/>
      <x:c r="F214" s="67"/>
      <x:c r="G214" s="67"/>
      <x:c r="H214" s="67"/>
      <x:c r="I214" s="67"/>
      <x:c r="J214" s="60"/>
      <x:c r="K214" s="60"/>
      <x:c r="L214" s="60"/>
      <x:c r="M214" s="60"/>
      <x:c r="N214" s="60"/>
      <x:c r="O214" s="60" t="str">
        <x:v>Snapshot only — live RPC pull not run in this workbook</x:v>
      </x:c>
      <x:c r="P214" s="60" t="str">
        <x:v>Atropa snapshot 2025-02-27 / atropa-tokens JSON</x:v>
      </x:c>
    </x:row>
    <x:row r="215">
      <x:c r="A215" s="60" t="str">
        <x:v>None</x:v>
      </x:c>
      <x:c r="B215" s="60" t="str">
        <x:v>None</x:v>
      </x:c>
      <x:c r="C215" s="60" t="str">
        <x:v>0xb51dB2755C4799CAeCE05ACFA8df9506de437adD</x:v>
      </x:c>
      <x:c r="D215" s="67" t="n">
        <x:v>666</x:v>
      </x:c>
      <x:c r="E215" s="67"/>
      <x:c r="F215" s="67"/>
      <x:c r="G215" s="67"/>
      <x:c r="H215" s="67"/>
      <x:c r="I215" s="67"/>
      <x:c r="J215" s="60"/>
      <x:c r="K215" s="60"/>
      <x:c r="L215" s="60"/>
      <x:c r="M215" s="60"/>
      <x:c r="N215" s="60"/>
      <x:c r="O215" s="60" t="str">
        <x:v>Snapshot only — live RPC pull not run in this workbook</x:v>
      </x:c>
      <x:c r="P215" s="60" t="str">
        <x:v>Atropa snapshot 2025-02-27 / atropa-tokens JSON</x:v>
      </x:c>
    </x:row>
    <x:row r="216">
      <x:c r="A216" s="60" t="str">
        <x:v>None</x:v>
      </x:c>
      <x:c r="B216" s="60" t="str">
        <x:v>None</x:v>
      </x:c>
      <x:c r="C216" s="60" t="str">
        <x:v>0x8fC9E80C26E735fe25ec524B3FC350EdFbC5980a</x:v>
      </x:c>
      <x:c r="D216" s="67" t="n">
        <x:v>666</x:v>
      </x:c>
      <x:c r="E216" s="67"/>
      <x:c r="F216" s="67"/>
      <x:c r="G216" s="67"/>
      <x:c r="H216" s="67"/>
      <x:c r="I216" s="67"/>
      <x:c r="J216" s="60"/>
      <x:c r="K216" s="60"/>
      <x:c r="L216" s="60"/>
      <x:c r="M216" s="60"/>
      <x:c r="N216" s="60"/>
      <x:c r="O216" s="60" t="str">
        <x:v>Snapshot only — live RPC pull not run in this workbook</x:v>
      </x:c>
      <x:c r="P216" s="60" t="str">
        <x:v>Atropa snapshot 2025-02-27 / atropa-tokens JSON</x:v>
      </x:c>
    </x:row>
    <x:row r="217">
      <x:c r="A217" s="60" t="str">
        <x:v>None</x:v>
      </x:c>
      <x:c r="B217" s="60" t="str">
        <x:v>None</x:v>
      </x:c>
      <x:c r="C217" s="60" t="str">
        <x:v>0x91CE91421d499E24c1B5Df5768F3D47ad5fE4F80</x:v>
      </x:c>
      <x:c r="D217" s="67" t="n">
        <x:v>666</x:v>
      </x:c>
      <x:c r="E217" s="67"/>
      <x:c r="F217" s="67"/>
      <x:c r="G217" s="67"/>
      <x:c r="H217" s="67"/>
      <x:c r="I217" s="67"/>
      <x:c r="J217" s="60"/>
      <x:c r="K217" s="60"/>
      <x:c r="L217" s="60"/>
      <x:c r="M217" s="60"/>
      <x:c r="N217" s="60"/>
      <x:c r="O217" s="60" t="str">
        <x:v>Snapshot only — live RPC pull not run in this workbook</x:v>
      </x:c>
      <x:c r="P217" s="60" t="str">
        <x:v>Atropa snapshot 2025-02-27 / atropa-tokens JSON</x:v>
      </x:c>
    </x:row>
    <x:row r="218">
      <x:c r="A218" s="60" t="str">
        <x:v>Hammer Time</x:v>
      </x:c>
      <x:c r="B218" s="60" t="str">
        <x:v>DISCOVERY™</x:v>
      </x:c>
      <x:c r="C218" s="60" t="str">
        <x:v>0x0767ed257BeEE2F4659e31Ab80AEE3FD2D5Cd81b</x:v>
      </x:c>
      <x:c r="D218" s="67" t="n">
        <x:v>666</x:v>
      </x:c>
      <x:c r="E218" s="67"/>
      <x:c r="F218" s="67"/>
      <x:c r="G218" s="67"/>
      <x:c r="H218" s="67"/>
      <x:c r="I218" s="67"/>
      <x:c r="J218" s="60"/>
      <x:c r="K218" s="60"/>
      <x:c r="L218" s="60"/>
      <x:c r="M218" s="60"/>
      <x:c r="N218" s="60"/>
      <x:c r="O218" s="60" t="str">
        <x:v>Snapshot only — live RPC pull not run in this workbook</x:v>
      </x:c>
      <x:c r="P218" s="60" t="str">
        <x:v>Atropa snapshot 2025-02-27 / atropa-tokens JSON</x:v>
      </x:c>
    </x:row>
    <x:row r="219">
      <x:c r="A219" s="60" t="str">
        <x:v>None</x:v>
      </x:c>
      <x:c r="B219" s="60" t="str">
        <x:v>None</x:v>
      </x:c>
      <x:c r="C219" s="60" t="str">
        <x:v>0xe4DaEd98828c79f353A10950D4026D6bb1C166C5</x:v>
      </x:c>
      <x:c r="D219" s="67" t="n">
        <x:v>111</x:v>
      </x:c>
      <x:c r="E219" s="67"/>
      <x:c r="F219" s="67"/>
      <x:c r="G219" s="67"/>
      <x:c r="H219" s="67"/>
      <x:c r="I219" s="67"/>
      <x:c r="J219" s="60"/>
      <x:c r="K219" s="60"/>
      <x:c r="L219" s="60"/>
      <x:c r="M219" s="60"/>
      <x:c r="N219" s="60"/>
      <x:c r="O219" s="60" t="str">
        <x:v>Snapshot only — live RPC pull not run in this workbook</x:v>
      </x:c>
      <x:c r="P219" s="60" t="str">
        <x:v>Atropa snapshot 2025-02-27 / atropa-tokens JSON</x:v>
      </x:c>
    </x:row>
    <x:row r="220">
      <x:c r="A220" s="60" t="str">
        <x:v>SUSPEND</x:v>
      </x:c>
      <x:c r="B220" s="60" t="str">
        <x:v>PROSTITUTION™</x:v>
      </x:c>
      <x:c r="C220" s="60" t="str">
        <x:v>0x20Bf7bcc498b2F0f0A1e94fFec9dD00ceB59F875</x:v>
      </x:c>
      <x:c r="D220" s="67" t="n">
        <x:v>111</x:v>
      </x:c>
      <x:c r="E220" s="67"/>
      <x:c r="F220" s="67"/>
      <x:c r="G220" s="67"/>
      <x:c r="H220" s="67"/>
      <x:c r="I220" s="67"/>
      <x:c r="J220" s="60"/>
      <x:c r="K220" s="60"/>
      <x:c r="L220" s="60"/>
      <x:c r="M220" s="60"/>
      <x:c r="N220" s="60"/>
      <x:c r="O220" s="60" t="str">
        <x:v>Snapshot only — live RPC pull not run in this workbook</x:v>
      </x:c>
      <x:c r="P220" s="60" t="str">
        <x:v>Atropa snapshot 2025-02-27 / atropa-tokens JSON</x:v>
      </x:c>
    </x:row>
    <x:row r="221">
      <x:c r="A221" s="60" t="str">
        <x:v>Helsinki Dyschourd</x:v>
      </x:c>
      <x:c r="B221" s="60" t="str">
        <x:v>IMMUNITY™</x:v>
      </x:c>
      <x:c r="C221" s="60" t="str">
        <x:v>0xf50fCB9c3aa984C468206a1a40832EEF384e0Cb1</x:v>
      </x:c>
      <x:c r="D221" s="67" t="n">
        <x:v>111</x:v>
      </x:c>
      <x:c r="E221" s="67"/>
      <x:c r="F221" s="67"/>
      <x:c r="G221" s="67"/>
      <x:c r="H221" s="67"/>
      <x:c r="I221" s="67"/>
      <x:c r="J221" s="60"/>
      <x:c r="K221" s="60"/>
      <x:c r="L221" s="60"/>
      <x:c r="M221" s="60"/>
      <x:c r="N221" s="60"/>
      <x:c r="O221" s="60" t="str">
        <x:v>Snapshot only — live RPC pull not run in this workbook</x:v>
      </x:c>
      <x:c r="P221" s="60" t="str">
        <x:v>Atropa snapshot 2025-02-27 / atropa-tokens JSON</x:v>
      </x:c>
    </x:row>
    <x:row r="222">
      <x:c r="A222" s="60" t="str">
        <x:v>Failure To Appear</x:v>
      </x:c>
      <x:c r="B222" s="60" t="str">
        <x:v>STUTTER™</x:v>
      </x:c>
      <x:c r="C222" s="60" t="str">
        <x:v>0x06C27C650b09f36deE21A242A5600Ad3dDFaa2F1</x:v>
      </x:c>
      <x:c r="D222" s="67" t="n">
        <x:v>111</x:v>
      </x:c>
      <x:c r="E222" s="67"/>
      <x:c r="F222" s="67"/>
      <x:c r="G222" s="67"/>
      <x:c r="H222" s="67"/>
      <x:c r="I222" s="67"/>
      <x:c r="J222" s="60"/>
      <x:c r="K222" s="60"/>
      <x:c r="L222" s="60"/>
      <x:c r="M222" s="60"/>
      <x:c r="N222" s="60"/>
      <x:c r="O222" s="60" t="str">
        <x:v>Snapshot only — live RPC pull not run in this workbook</x:v>
      </x:c>
      <x:c r="P222" s="60" t="str">
        <x:v>Atropa snapshot 2025-02-27 / atropa-tokens JSON</x:v>
      </x:c>
    </x:row>
    <x:row r="223">
      <x:c r="A223" s="60" t="str">
        <x:v>Stay Of Proceedings</x:v>
      </x:c>
      <x:c r="B223" s="60" t="str">
        <x:v>®™</x:v>
      </x:c>
      <x:c r="C223" s="60" t="str">
        <x:v>0x7674516ad438dd67A057fBc1119168d9A7d2a9B1</x:v>
      </x:c>
      <x:c r="D223" s="67" t="n">
        <x:v>131</x:v>
      </x:c>
      <x:c r="E223" s="67"/>
      <x:c r="F223" s="67"/>
      <x:c r="G223" s="67"/>
      <x:c r="H223" s="67"/>
      <x:c r="I223" s="67"/>
      <x:c r="J223" s="60"/>
      <x:c r="K223" s="60"/>
      <x:c r="L223" s="60"/>
      <x:c r="M223" s="60"/>
      <x:c r="N223" s="60"/>
      <x:c r="O223" s="60" t="str">
        <x:v>Snapshot only — live RPC pull not run in this workbook</x:v>
      </x:c>
      <x:c r="P223" s="60" t="str">
        <x:v>Atropa snapshot 2025-02-27 / atropa-tokens JSON</x:v>
      </x:c>
    </x:row>
    <x:row r="224">
      <x:c r="A224" s="60" t="str">
        <x:v>INDEPENDENCE</x:v>
      </x:c>
      <x:c r="B224" s="60" t="str">
        <x:v>©™</x:v>
      </x:c>
      <x:c r="C224" s="60" t="str">
        <x:v>0x8B090509eAe0fEB4A0B934de1b4345161fA9a62d</x:v>
      </x:c>
      <x:c r="D224" s="67" t="n">
        <x:v>20</x:v>
      </x:c>
      <x:c r="E224" s="67"/>
      <x:c r="F224" s="67"/>
      <x:c r="G224" s="67"/>
      <x:c r="H224" s="67"/>
      <x:c r="I224" s="67"/>
      <x:c r="J224" s="60"/>
      <x:c r="K224" s="60"/>
      <x:c r="L224" s="60"/>
      <x:c r="M224" s="60"/>
      <x:c r="N224" s="60"/>
      <x:c r="O224" s="60" t="str">
        <x:v>Snapshot only — live RPC pull not run in this workbook</x:v>
      </x:c>
      <x:c r="P224" s="60" t="str">
        <x:v>Atropa snapshot 2025-02-27 / atropa-tokens JSON</x:v>
      </x:c>
    </x:row>
    <x:row r="225">
      <x:c r="A225" s="60" t="str">
        <x:v>محمد بن الحاج قاسم</x:v>
      </x:c>
      <x:c r="B225" s="60" t="str">
        <x:v>YAHYA™</x:v>
      </x:c>
      <x:c r="C225" s="60" t="str">
        <x:v>0xf0d7962C8153b2445127e8Ca5361578f9F5D0957</x:v>
      </x:c>
      <x:c r="D225" s="67" t="n">
        <x:v>20</x:v>
      </x:c>
      <x:c r="E225" s="67"/>
      <x:c r="F225" s="67"/>
      <x:c r="G225" s="67"/>
      <x:c r="H225" s="67"/>
      <x:c r="I225" s="67"/>
      <x:c r="J225" s="60"/>
      <x:c r="K225" s="60"/>
      <x:c r="L225" s="60"/>
      <x:c r="M225" s="60"/>
      <x:c r="N225" s="60"/>
      <x:c r="O225" s="60" t="str">
        <x:v>Snapshot only — live RPC pull not run in this workbook</x:v>
      </x:c>
      <x:c r="P225" s="60" t="str">
        <x:v>Atropa snapshot 2025-02-27 / atropa-tokens JSON</x:v>
      </x:c>
    </x:row>
    <x:row r="226">
      <x:c r="A226" s="60" t="str">
        <x:v>pINDEPENDENCE</x:v>
      </x:c>
      <x:c r="B226" s="60" t="str">
        <x:v>ⓟ</x:v>
      </x:c>
      <x:c r="C226" s="60" t="str">
        <x:v>0xA2262D7728C689526693aE893D0fD8a352C7073C</x:v>
      </x:c>
      <x:c r="D226" s="67" t="n">
        <x:v>0</x:v>
      </x:c>
      <x:c r="E226" s="67"/>
      <x:c r="F226" s="67"/>
      <x:c r="G226" s="67"/>
      <x:c r="H226" s="67"/>
      <x:c r="I226" s="67"/>
      <x:c r="J226" s="60"/>
      <x:c r="K226" s="60"/>
      <x:c r="L226" s="60"/>
      <x:c r="M226" s="60"/>
      <x:c r="N226" s="60"/>
      <x:c r="O226" s="60" t="str">
        <x:v>Snapshot only — live RPC pull not run in this workbook</x:v>
      </x:c>
      <x:c r="P226" s="60" t="str">
        <x:v>Atropa snapshot 2025-02-27 / atropa-tokens JSON</x:v>
      </x:c>
    </x:row>
    <x:row r="227">
      <x:c r="A227" s="60" t="str">
        <x:v>GIMME FIVE</x:v>
      </x:c>
      <x:c r="B227" s="60" t="str">
        <x:v>⑤</x:v>
      </x:c>
      <x:c r="C227" s="60" t="str">
        <x:v>0x2fc636E7fDF9f3E8d61033103052079781a6e7D2</x:v>
      </x:c>
      <x:c r="D227" s="67" t="n">
        <x:v>0</x:v>
      </x:c>
      <x:c r="E227" s="67"/>
      <x:c r="F227" s="67"/>
      <x:c r="G227" s="67"/>
      <x:c r="H227" s="67"/>
      <x:c r="I227" s="67"/>
      <x:c r="J227" s="60"/>
      <x:c r="K227" s="60"/>
      <x:c r="L227" s="60"/>
      <x:c r="M227" s="60"/>
      <x:c r="N227" s="60"/>
      <x:c r="O227" s="60" t="str">
        <x:v>Snapshot only — live RPC pull not run in this workbook</x:v>
      </x:c>
      <x:c r="P227" s="60" t="str">
        <x:v>Atropa snapshot 2025-02-27 / atropa-tokens JSON</x:v>
      </x:c>
    </x:row>
    <x:row r="228">
      <x:c r="A228" s="60" t="str">
        <x:v>Random Number Generator</x:v>
      </x:c>
      <x:c r="B228" s="60" t="str">
        <x:v>RNG</x:v>
      </x:c>
      <x:c r="C228" s="60" t="str">
        <x:v>0xa96BcbeD7F01de6CEEd14fC86d90F21a36dE2143</x:v>
      </x:c>
      <x:c r="D228" s="67" t="n">
        <x:v>0</x:v>
      </x:c>
      <x:c r="E228" s="67"/>
      <x:c r="F228" s="67"/>
      <x:c r="G228" s="67"/>
      <x:c r="H228" s="67"/>
      <x:c r="I228" s="67"/>
      <x:c r="J228" s="60"/>
      <x:c r="K228" s="60"/>
      <x:c r="L228" s="60"/>
      <x:c r="M228" s="60"/>
      <x:c r="N228" s="60"/>
      <x:c r="O228" s="60" t="str">
        <x:v>Snapshot only — live RPC pull not run in this workbook</x:v>
      </x:c>
      <x:c r="P228" s="60" t="str">
        <x:v>Atropa snapshot 2025-02-27 / atropa-tokens JSON</x:v>
      </x:c>
    </x:row>
    <x:row r="229">
      <x:c r="A229" s="60" t="str">
        <x:v>Random Number Generator</x:v>
      </x:c>
      <x:c r="B229" s="60" t="str">
        <x:v>RNG</x:v>
      </x:c>
      <x:c r="C229" s="60" t="str">
        <x:v>0x2b943Bf3cFc3B7A42DC7d13898171802BCD3Aea9</x:v>
      </x:c>
      <x:c r="D229" s="67" t="n">
        <x:v>1</x:v>
      </x:c>
      <x:c r="E229" s="67"/>
      <x:c r="F229" s="67"/>
      <x:c r="G229" s="67"/>
      <x:c r="H229" s="67"/>
      <x:c r="I229" s="67"/>
      <x:c r="J229" s="60"/>
      <x:c r="K229" s="60"/>
      <x:c r="L229" s="60"/>
      <x:c r="M229" s="60"/>
      <x:c r="N229" s="60"/>
      <x:c r="O229" s="60" t="str">
        <x:v>Snapshot only — live RPC pull not run in this workbook</x:v>
      </x:c>
      <x:c r="P229" s="60" t="str">
        <x:v>Atropa snapshot 2025-02-27 / atropa-tokens JSON</x:v>
      </x:c>
    </x:row>
    <x:row r="230">
      <x:c r="A230" s="60" t="str">
        <x:v>Random Number Generator</x:v>
      </x:c>
      <x:c r="B230" s="60" t="str">
        <x:v>RNG</x:v>
      </x:c>
      <x:c r="C230" s="60" t="str">
        <x:v>0x17E136fD4c821ae25A611fAF187753B6e84736a4</x:v>
      </x:c>
      <x:c r="D230" s="67" t="n">
        <x:v>1</x:v>
      </x:c>
      <x:c r="E230" s="67"/>
      <x:c r="F230" s="67"/>
      <x:c r="G230" s="67"/>
      <x:c r="H230" s="67"/>
      <x:c r="I230" s="67"/>
      <x:c r="J230" s="60"/>
      <x:c r="K230" s="60"/>
      <x:c r="L230" s="60"/>
      <x:c r="M230" s="60"/>
      <x:c r="N230" s="60"/>
      <x:c r="O230" s="60" t="str">
        <x:v>Snapshot only — live RPC pull not run in this workbook</x:v>
      </x:c>
      <x:c r="P230" s="60" t="str">
        <x:v>Atropa snapshot 2025-02-27 / atropa-tokens JSON</x:v>
      </x:c>
    </x:row>
    <x:row r="231">
      <x:c r="A231" s="60" t="str">
        <x:v>libAtropaMath v1.0</x:v>
      </x:c>
      <x:c r="B231" s="60" t="str">
        <x:v>MATH</x:v>
      </x:c>
      <x:c r="C231" s="60" t="str">
        <x:v>0x5EF3011243B03f817223A19f277638397048A0DC</x:v>
      </x:c>
      <x:c r="D231" s="67" t="n">
        <x:v>1</x:v>
      </x:c>
      <x:c r="E231" s="67"/>
      <x:c r="F231" s="67"/>
      <x:c r="G231" s="67"/>
      <x:c r="H231" s="67"/>
      <x:c r="I231" s="67"/>
      <x:c r="J231" s="60"/>
      <x:c r="K231" s="60"/>
      <x:c r="L231" s="60"/>
      <x:c r="M231" s="60"/>
      <x:c r="N231" s="60"/>
      <x:c r="O231" s="60" t="str">
        <x:v>Snapshot only — live RPC pull not run in this workbook</x:v>
      </x:c>
      <x:c r="P231" s="60" t="str">
        <x:v>Atropa snapshot 2025-02-27 / atropa-tokens JSON</x:v>
      </x:c>
    </x:row>
    <x:row r="232">
      <x:c r="A232" s="60" t="str">
        <x:v>libAtropaMath v1.1</x:v>
      </x:c>
      <x:c r="B232" s="60" t="str">
        <x:v>MATH</x:v>
      </x:c>
      <x:c r="C232" s="60" t="str">
        <x:v>0xB680F0cc810317933F234f67EB6A9E923407f05D</x:v>
      </x:c>
      <x:c r="D232" s="67" t="n">
        <x:v>1</x:v>
      </x:c>
      <x:c r="E232" s="67"/>
      <x:c r="F232" s="67"/>
      <x:c r="G232" s="67"/>
      <x:c r="H232" s="67"/>
      <x:c r="I232" s="67"/>
      <x:c r="J232" s="60"/>
      <x:c r="K232" s="60"/>
      <x:c r="L232" s="60"/>
      <x:c r="M232" s="60"/>
      <x:c r="N232" s="60"/>
      <x:c r="O232" s="60" t="str">
        <x:v>Snapshot only — live RPC pull not run in this workbook</x:v>
      </x:c>
      <x:c r="P232" s="60" t="str">
        <x:v>Atropa snapshot 2025-02-27 / atropa-tokens JSON</x:v>
      </x:c>
    </x:row>
    <x:row r="233">
      <x:c r="A233" s="60" t="str">
        <x:v>libConjecture v1.0</x:v>
      </x:c>
      <x:c r="B233" s="60" t="str">
        <x:v>Fa</x:v>
      </x:c>
      <x:c r="C233" s="60" t="str">
        <x:v>0x2Ef8f161719f99062780f54733eFb4ff1516F277</x:v>
      </x:c>
      <x:c r="D233" s="67" t="n">
        <x:v>1</x:v>
      </x:c>
      <x:c r="E233" s="67"/>
      <x:c r="F233" s="67"/>
      <x:c r="G233" s="67"/>
      <x:c r="H233" s="67"/>
      <x:c r="I233" s="67"/>
      <x:c r="J233" s="60"/>
      <x:c r="K233" s="60"/>
      <x:c r="L233" s="60"/>
      <x:c r="M233" s="60"/>
      <x:c r="N233" s="60"/>
      <x:c r="O233" s="60" t="str">
        <x:v>Snapshot only — live RPC pull not run in this workbook</x:v>
      </x:c>
      <x:c r="P233" s="60" t="str">
        <x:v>Atropa snapshot 2025-02-27 / atropa-tokens JSON</x:v>
      </x:c>
    </x:row>
    <x:row r="234">
      <x:c r="A234" s="60" t="str">
        <x:v>libConjecture v1.0</x:v>
      </x:c>
      <x:c r="B234" s="60" t="str">
        <x:v>Fa</x:v>
      </x:c>
      <x:c r="C234" s="60" t="str">
        <x:v>0x36946E462e80F85fc573129D9485D0B01E1f5af4</x:v>
      </x:c>
      <x:c r="D234" s="67" t="n">
        <x:v>1</x:v>
      </x:c>
      <x:c r="E234" s="67"/>
      <x:c r="F234" s="67"/>
      <x:c r="G234" s="67"/>
      <x:c r="H234" s="67"/>
      <x:c r="I234" s="67"/>
      <x:c r="J234" s="60"/>
      <x:c r="K234" s="60"/>
      <x:c r="L234" s="60"/>
      <x:c r="M234" s="60"/>
      <x:c r="N234" s="60"/>
      <x:c r="O234" s="60" t="str">
        <x:v>Snapshot only — live RPC pull not run in this workbook</x:v>
      </x:c>
      <x:c r="P234" s="60" t="str">
        <x:v>Atropa snapshot 2025-02-27 / atropa-tokens JSON</x:v>
      </x:c>
    </x:row>
    <x:row r="235">
      <x:c r="A235" s="60" t="str">
        <x:v>libDynamic v1.0</x:v>
      </x:c>
      <x:c r="B235" s="60" t="str">
        <x:v>Faung</x:v>
      </x:c>
      <x:c r="C235" s="60" t="str">
        <x:v>0xa505B36154e6be8ec74be63cB5F8882EaBc05374</x:v>
      </x:c>
      <x:c r="D235" s="67" t="n">
        <x:v>1</x:v>
      </x:c>
      <x:c r="E235" s="67"/>
      <x:c r="F235" s="67"/>
      <x:c r="G235" s="67"/>
      <x:c r="H235" s="67"/>
      <x:c r="I235" s="67"/>
      <x:c r="J235" s="60"/>
      <x:c r="K235" s="60"/>
      <x:c r="L235" s="60"/>
      <x:c r="M235" s="60"/>
      <x:c r="N235" s="60"/>
      <x:c r="O235" s="60" t="str">
        <x:v>Snapshot only — live RPC pull not run in this workbook</x:v>
      </x:c>
      <x:c r="P235" s="60" t="str">
        <x:v>Atropa snapshot 2025-02-27 / atropa-tokens JSON</x:v>
      </x:c>
    </x:row>
    <x:row r="236">
      <x:c r="A236" s="60" t="str">
        <x:v>libDynamic v1.0</x:v>
      </x:c>
      <x:c r="B236" s="60" t="str">
        <x:v>Faung</x:v>
      </x:c>
      <x:c r="C236" s="60" t="str">
        <x:v>0x2c1fb497Cd0858CF68c96af6e2a801D121D97E27</x:v>
      </x:c>
      <x:c r="D236" s="67" t="n">
        <x:v>1</x:v>
      </x:c>
      <x:c r="E236" s="67"/>
      <x:c r="F236" s="67"/>
      <x:c r="G236" s="67"/>
      <x:c r="H236" s="67"/>
      <x:c r="I236" s="67"/>
      <x:c r="J236" s="60"/>
      <x:c r="K236" s="60"/>
      <x:c r="L236" s="60"/>
      <x:c r="M236" s="60"/>
      <x:c r="N236" s="60"/>
      <x:c r="O236" s="60" t="str">
        <x:v>Snapshot only — live RPC pull not run in this workbook</x:v>
      </x:c>
      <x:c r="P236" s="60" t="str">
        <x:v>Atropa snapshot 2025-02-27 / atropa-tokens JSON</x:v>
      </x:c>
    </x:row>
    <x:row r="237">
      <x:c r="A237" s="60" t="str">
        <x:v>libConjecture v1.0</x:v>
      </x:c>
      <x:c r="B237" s="60" t="str">
        <x:v>Fa</x:v>
      </x:c>
      <x:c r="C237" s="60" t="str">
        <x:v>0x6a3a99f6Db83c8397b57033734fC29F3F5b58f46</x:v>
      </x:c>
      <x:c r="D237" s="67" t="n">
        <x:v>1</x:v>
      </x:c>
      <x:c r="E237" s="67"/>
      <x:c r="F237" s="67"/>
      <x:c r="G237" s="67"/>
      <x:c r="H237" s="67"/>
      <x:c r="I237" s="67"/>
      <x:c r="J237" s="60"/>
      <x:c r="K237" s="60"/>
      <x:c r="L237" s="60"/>
      <x:c r="M237" s="60"/>
      <x:c r="N237" s="60"/>
      <x:c r="O237" s="60" t="str">
        <x:v>Snapshot only — live RPC pull not run in this workbook</x:v>
      </x:c>
      <x:c r="P237" s="60" t="str">
        <x:v>Atropa snapshot 2025-02-27 / atropa-tokens JSON</x:v>
      </x:c>
    </x:row>
    <x:row r="238">
      <x:c r="A238" s="60" t="str">
        <x:v>libDynamic v1.0</x:v>
      </x:c>
      <x:c r="B238" s="60" t="str">
        <x:v>Faung</x:v>
      </x:c>
      <x:c r="C238" s="60" t="str">
        <x:v>0x580192164ceb11721Abd1B5116Be328529653E22</x:v>
      </x:c>
      <x:c r="D238" s="67" t="n">
        <x:v>1</x:v>
      </x:c>
      <x:c r="E238" s="67"/>
      <x:c r="F238" s="67"/>
      <x:c r="G238" s="67"/>
      <x:c r="H238" s="67"/>
      <x:c r="I238" s="67"/>
      <x:c r="J238" s="60"/>
      <x:c r="K238" s="60"/>
      <x:c r="L238" s="60"/>
      <x:c r="M238" s="60"/>
      <x:c r="N238" s="60"/>
      <x:c r="O238" s="60" t="str">
        <x:v>Snapshot only — live RPC pull not run in this workbook</x:v>
      </x:c>
      <x:c r="P238" s="60" t="str">
        <x:v>Atropa snapshot 2025-02-27 / atropa-tokens JSON</x:v>
      </x:c>
    </x:row>
    <x:row r="239">
      <x:c r="A239" s="60" t="str">
        <x:v>libConjecture v1.0</x:v>
      </x:c>
      <x:c r="B239" s="60" t="str">
        <x:v>Fa</x:v>
      </x:c>
      <x:c r="C239" s="60" t="str">
        <x:v>0x232a27AB6941281b3f474Fe5fF7Cc89816fB675A</x:v>
      </x:c>
      <x:c r="D239" s="67" t="n">
        <x:v>1</x:v>
      </x:c>
      <x:c r="E239" s="67"/>
      <x:c r="F239" s="67"/>
      <x:c r="G239" s="67"/>
      <x:c r="H239" s="67"/>
      <x:c r="I239" s="67"/>
      <x:c r="J239" s="60"/>
      <x:c r="K239" s="60"/>
      <x:c r="L239" s="60"/>
      <x:c r="M239" s="60"/>
      <x:c r="N239" s="60"/>
      <x:c r="O239" s="60" t="str">
        <x:v>Snapshot only — live RPC pull not run in this workbook</x:v>
      </x:c>
      <x:c r="P239" s="60" t="str">
        <x:v>Atropa snapshot 2025-02-27 / atropa-tokens JSON</x:v>
      </x:c>
    </x:row>
    <x:row r="240">
      <x:c r="A240" s="60" t="str">
        <x:v>libDynamic v1.0</x:v>
      </x:c>
      <x:c r="B240" s="60" t="str">
        <x:v>Faung</x:v>
      </x:c>
      <x:c r="C240" s="60" t="str">
        <x:v>0x22fE84A0E095893d9FF13247074DE5643A81bd19</x:v>
      </x:c>
      <x:c r="D240" s="67" t="n">
        <x:v>1</x:v>
      </x:c>
      <x:c r="E240" s="67"/>
      <x:c r="F240" s="67"/>
      <x:c r="G240" s="67"/>
      <x:c r="H240" s="67"/>
      <x:c r="I240" s="67"/>
      <x:c r="J240" s="60"/>
      <x:c r="K240" s="60"/>
      <x:c r="L240" s="60"/>
      <x:c r="M240" s="60"/>
      <x:c r="N240" s="60"/>
      <x:c r="O240" s="60" t="str">
        <x:v>Snapshot only — live RPC pull not run in this workbook</x:v>
      </x:c>
      <x:c r="P240" s="60" t="str">
        <x:v>Atropa snapshot 2025-02-27 / atropa-tokens JSON</x:v>
      </x:c>
    </x:row>
    <x:row r="241">
      <x:c r="A241" s="60" t="str">
        <x:v>libDynamic v1.0</x:v>
      </x:c>
      <x:c r="B241" s="60" t="str">
        <x:v>Faung</x:v>
      </x:c>
      <x:c r="C241" s="60" t="str">
        <x:v>0x73A19FaFb359faf519C9707b781dfdB88407d10d</x:v>
      </x:c>
      <x:c r="D241" s="67" t="n">
        <x:v>0</x:v>
      </x:c>
      <x:c r="E241" s="67"/>
      <x:c r="F241" s="67"/>
      <x:c r="G241" s="67"/>
      <x:c r="H241" s="67"/>
      <x:c r="I241" s="67"/>
      <x:c r="J241" s="60"/>
      <x:c r="K241" s="60"/>
      <x:c r="L241" s="60"/>
      <x:c r="M241" s="60"/>
      <x:c r="N241" s="60"/>
      <x:c r="O241" s="60" t="str">
        <x:v>Snapshot only — live RPC pull not run in this workbook</x:v>
      </x:c>
      <x:c r="P241" s="60" t="str">
        <x:v>Atropa snapshot 2025-02-27 / atropa-tokens JSON</x:v>
      </x:c>
    </x:row>
    <x:row r="242">
      <x:c r="A242" s="60" t="str">
        <x:v>AFFECTION™</x:v>
      </x:c>
      <x:c r="B242" s="60" t="str">
        <x:v>Ⓐ</x:v>
      </x:c>
      <x:c r="C242" s="60" t="str">
        <x:v>0x24F0154C1dCe548AdF15da2098Fdd8B8A3B8151D</x:v>
      </x:c>
      <x:c r="D242" s="67" t="n">
        <x:v>19</x:v>
      </x:c>
      <x:c r="E242" s="67"/>
      <x:c r="F242" s="67"/>
      <x:c r="G242" s="67"/>
      <x:c r="H242" s="67"/>
      <x:c r="I242" s="67"/>
      <x:c r="J242" s="60"/>
      <x:c r="K242" s="60"/>
      <x:c r="L242" s="60"/>
      <x:c r="M242" s="60"/>
      <x:c r="N242" s="60"/>
      <x:c r="O242" s="60" t="str">
        <x:v>Snapshot only — live RPC pull not run in this workbook</x:v>
      </x:c>
      <x:c r="P242" s="60" t="str">
        <x:v>Atropa snapshot 2025-02-27 / atropa-tokens JSON</x:v>
      </x:c>
    </x:row>
    <x:row r="243">
      <x:c r="A243" s="60" t="str">
        <x:v>BLÄTTER™</x:v>
      </x:c>
      <x:c r="B243" s="60" t="str">
        <x:v>ออกจาก🄮</x:v>
      </x:c>
      <x:c r="C243" s="60" t="str">
        <x:v>0xCe1d47CE3A91E054C111d9cC3B4bae50843200da</x:v>
      </x:c>
      <x:c r="D243" s="67" t="n">
        <x:v>21</x:v>
      </x:c>
      <x:c r="E243" s="67"/>
      <x:c r="F243" s="67"/>
      <x:c r="G243" s="67"/>
      <x:c r="H243" s="67"/>
      <x:c r="I243" s="67"/>
      <x:c r="J243" s="60"/>
      <x:c r="K243" s="60"/>
      <x:c r="L243" s="60"/>
      <x:c r="M243" s="60"/>
      <x:c r="N243" s="60"/>
      <x:c r="O243" s="60" t="str">
        <x:v>Snapshot only — live RPC pull not run in this workbook</x:v>
      </x:c>
      <x:c r="P243" s="60" t="str">
        <x:v>Atropa snapshot 2025-02-27 / atropa-tokens JSON</x:v>
      </x:c>
    </x:row>
    <x:row r="244">
      <x:c r="A244" s="60" t="str">
        <x:v>Pick 4</x:v>
      </x:c>
      <x:c r="B244" s="60" t="str">
        <x:v>LOTTO</x:v>
      </x:c>
      <x:c r="C244" s="60" t="str">
        <x:v>0x8C7C7B79df33A846e50EE753487DE96f6ED87a2a</x:v>
      </x:c>
      <x:c r="D244" s="67" t="n">
        <x:v>0</x:v>
      </x:c>
      <x:c r="E244" s="67"/>
      <x:c r="F244" s="67"/>
      <x:c r="G244" s="67"/>
      <x:c r="H244" s="67"/>
      <x:c r="I244" s="67"/>
      <x:c r="J244" s="60"/>
      <x:c r="K244" s="60"/>
      <x:c r="L244" s="60"/>
      <x:c r="M244" s="60"/>
      <x:c r="N244" s="60"/>
      <x:c r="O244" s="60" t="str">
        <x:v>Snapshot only — live RPC pull not run in this workbook</x:v>
      </x:c>
      <x:c r="P244" s="60" t="str">
        <x:v>Atropa snapshot 2025-02-27 / atropa-tokens JSON</x:v>
      </x:c>
    </x:row>
    <x:row r="245">
      <x:c r="A245" s="60" t="str">
        <x:v>Pick 4</x:v>
      </x:c>
      <x:c r="B245" s="60" t="str">
        <x:v>LOTTO</x:v>
      </x:c>
      <x:c r="C245" s="60" t="str">
        <x:v>0x731D8bBb9468c945BE208B1d689A1aEFF0df4435</x:v>
      </x:c>
      <x:c r="D245" s="67" t="n">
        <x:v>0</x:v>
      </x:c>
      <x:c r="E245" s="67"/>
      <x:c r="F245" s="67"/>
      <x:c r="G245" s="67"/>
      <x:c r="H245" s="67"/>
      <x:c r="I245" s="67"/>
      <x:c r="J245" s="60"/>
      <x:c r="K245" s="60"/>
      <x:c r="L245" s="60"/>
      <x:c r="M245" s="60"/>
      <x:c r="N245" s="60"/>
      <x:c r="O245" s="60" t="str">
        <x:v>Snapshot only — live RPC pull not run in this workbook</x:v>
      </x:c>
      <x:c r="P245" s="60" t="str">
        <x:v>Atropa snapshot 2025-02-27 / atropa-tokens JSON</x:v>
      </x:c>
    </x:row>
    <x:row r="246">
      <x:c r="A246" s="60" t="str">
        <x:v>Pick 4</x:v>
      </x:c>
      <x:c r="B246" s="60" t="str">
        <x:v>LOTTO</x:v>
      </x:c>
      <x:c r="C246" s="60" t="str">
        <x:v>0xe780Bb76a24345734B1B94e2b4Cc8D64f23aD822</x:v>
      </x:c>
      <x:c r="D246" s="67" t="n">
        <x:v>1551</x:v>
      </x:c>
      <x:c r="E246" s="67"/>
      <x:c r="F246" s="67"/>
      <x:c r="G246" s="67"/>
      <x:c r="H246" s="67"/>
      <x:c r="I246" s="67"/>
      <x:c r="J246" s="60"/>
      <x:c r="K246" s="60"/>
      <x:c r="L246" s="60"/>
      <x:c r="M246" s="60"/>
      <x:c r="N246" s="60"/>
      <x:c r="O246" s="60" t="str">
        <x:v>Snapshot only — live RPC pull not run in this workbook</x:v>
      </x:c>
      <x:c r="P246" s="60" t="str">
        <x:v>Atropa snapshot 2025-02-27 / atropa-tokens JSON</x:v>
      </x:c>
    </x:row>
    <x:row r="247">
      <x:c r="A247" s="60" t="str">
        <x:v>Pick 4</x:v>
      </x:c>
      <x:c r="B247" s="60" t="str">
        <x:v>LOTTO</x:v>
      </x:c>
      <x:c r="C247" s="60" t="str">
        <x:v>0x1efD3D64f98b212B24c95F8dccc44c3a4fd52aE7</x:v>
      </x:c>
      <x:c r="D247" s="67" t="n">
        <x:v>1551</x:v>
      </x:c>
      <x:c r="E247" s="67"/>
      <x:c r="F247" s="67"/>
      <x:c r="G247" s="67"/>
      <x:c r="H247" s="67"/>
      <x:c r="I247" s="67"/>
      <x:c r="J247" s="60"/>
      <x:c r="K247" s="60"/>
      <x:c r="L247" s="60"/>
      <x:c r="M247" s="60"/>
      <x:c r="N247" s="60"/>
      <x:c r="O247" s="60" t="str">
        <x:v>Snapshot only — live RPC pull not run in this workbook</x:v>
      </x:c>
      <x:c r="P247" s="60" t="str">
        <x:v>Atropa snapshot 2025-02-27 / atropa-tokens JSON</x:v>
      </x:c>
    </x:row>
    <x:row r="248">
      <x:c r="A248" s="60" t="str">
        <x:v>Pick 4</x:v>
      </x:c>
      <x:c r="B248" s="60" t="str">
        <x:v>LOTTO</x:v>
      </x:c>
      <x:c r="C248" s="60" t="str">
        <x:v>0x13e4B2649A63901067840dA4Fc5D589e957D4e0a</x:v>
      </x:c>
      <x:c r="D248" s="67" t="n">
        <x:v>1551</x:v>
      </x:c>
      <x:c r="E248" s="67"/>
      <x:c r="F248" s="67"/>
      <x:c r="G248" s="67"/>
      <x:c r="H248" s="67"/>
      <x:c r="I248" s="67"/>
      <x:c r="J248" s="60"/>
      <x:c r="K248" s="60"/>
      <x:c r="L248" s="60"/>
      <x:c r="M248" s="60"/>
      <x:c r="N248" s="60"/>
      <x:c r="O248" s="60" t="str">
        <x:v>Snapshot only — live RPC pull not run in this workbook</x:v>
      </x:c>
      <x:c r="P248" s="60" t="str">
        <x:v>Atropa snapshot 2025-02-27 / atropa-tokens JSON</x:v>
      </x:c>
    </x:row>
    <x:row r="249">
      <x:c r="A249" s="60" t="str">
        <x:v>ꑟꀊꆅꊏꆹꆅꇬ</x:v>
      </x:c>
      <x:c r="B249" s="60" t="str">
        <x:v>限制令™</x:v>
      </x:c>
      <x:c r="C249" s="60" t="str">
        <x:v>0xEf2125f5d1f7A3d68038F27e681258d13a73E718</x:v>
      </x:c>
      <x:c r="D249" s="67" t="n">
        <x:v>1</x:v>
      </x:c>
      <x:c r="E249" s="67"/>
      <x:c r="F249" s="67"/>
      <x:c r="G249" s="67"/>
      <x:c r="H249" s="67"/>
      <x:c r="I249" s="67"/>
      <x:c r="J249" s="60"/>
      <x:c r="K249" s="60"/>
      <x:c r="L249" s="60"/>
      <x:c r="M249" s="60"/>
      <x:c r="N249" s="60"/>
      <x:c r="O249" s="60" t="str">
        <x:v>Snapshot only — live RPC pull not run in this workbook</x:v>
      </x:c>
      <x:c r="P249" s="60" t="str">
        <x:v>Atropa snapshot 2025-02-27 / atropa-tokens JSON</x:v>
      </x:c>
    </x:row>
    <x:row r="250">
      <x:c r="A250" s="60" t="str">
        <x:v>Not Exist</x:v>
      </x:c>
      <x:c r="B250" s="60" t="str">
        <x:v>TOD</x:v>
      </x:c>
      <x:c r="C250" s="60" t="str">
        <x:v>0x173216Ed67eBF3E6767D86e8b3Ff32e0d64437bF</x:v>
      </x:c>
      <x:c r="D250" s="67" t="n">
        <x:v>0</x:v>
      </x:c>
      <x:c r="E250" s="67"/>
      <x:c r="F250" s="67"/>
      <x:c r="G250" s="67"/>
      <x:c r="H250" s="67"/>
      <x:c r="I250" s="67"/>
      <x:c r="J250" s="60"/>
      <x:c r="K250" s="60"/>
      <x:c r="L250" s="60"/>
      <x:c r="M250" s="60"/>
      <x:c r="N250" s="60"/>
      <x:c r="O250" s="60" t="str">
        <x:v>Snapshot only — live RPC pull not run in this workbook</x:v>
      </x:c>
      <x:c r="P250" s="60" t="str">
        <x:v>Atropa snapshot 2025-02-27 / atropa-tokens JSON</x:v>
      </x:c>
    </x:row>
    <x:row r="251">
      <x:c r="A251" s="60" t="str">
        <x:v></x:v>
      </x:c>
      <x:c r="B251" s="60" t="str">
        <x:v></x:v>
      </x:c>
      <x:c r="C251" s="60" t="str">
        <x:v>0x61dcF6a5DF780a1e552f0f80AFAD23a9AE16755F</x:v>
      </x:c>
      <x:c r="D251" s="67" t="n">
        <x:v>3825133</x:v>
      </x:c>
      <x:c r="E251" s="67"/>
      <x:c r="F251" s="67"/>
      <x:c r="G251" s="67"/>
      <x:c r="H251" s="67"/>
      <x:c r="I251" s="67"/>
      <x:c r="J251" s="60"/>
      <x:c r="K251" s="60"/>
      <x:c r="L251" s="60"/>
      <x:c r="M251" s="60"/>
      <x:c r="N251" s="60"/>
      <x:c r="O251" s="60" t="str">
        <x:v>Snapshot only — live RPC pull not run in this workbook</x:v>
      </x:c>
      <x:c r="P251" s="60" t="str">
        <x:v>Atropa snapshot 2025-02-27 / atropa-tokens JSON</x:v>
      </x:c>
    </x:row>
    <x:row r="252">
      <x:c r="A252" s="60" t="str">
        <x:v>Tetratricopeptides</x:v>
      </x:c>
      <x:c r="B252" s="60" t="str">
        <x:v>正</x:v>
      </x:c>
      <x:c r="C252" s="60" t="str">
        <x:v>0x5F16F6c242e038437a7ba3C903DFeDB747Db4A5c</x:v>
      </x:c>
      <x:c r="D252" s="67" t="n">
        <x:v>5307229</x:v>
      </x:c>
      <x:c r="E252" s="67"/>
      <x:c r="F252" s="67"/>
      <x:c r="G252" s="67"/>
      <x:c r="H252" s="67"/>
      <x:c r="I252" s="67"/>
      <x:c r="J252" s="60"/>
      <x:c r="K252" s="60"/>
      <x:c r="L252" s="60"/>
      <x:c r="M252" s="60"/>
      <x:c r="N252" s="60"/>
      <x:c r="O252" s="60" t="str">
        <x:v>Snapshot only — live RPC pull not run in this workbook</x:v>
      </x:c>
      <x:c r="P252" s="60" t="str">
        <x:v>Atropa snapshot 2025-02-27 / atropa-tokens JSON</x:v>
      </x:c>
    </x:row>
    <x:row r="253">
      <x:c r="A253" s="60" t="str">
        <x:v>It's Not Forbidden</x:v>
      </x:c>
      <x:c r="B253" s="60" t="str">
        <x:v>Berwickshire Naturalists' Club</x:v>
      </x:c>
      <x:c r="C253" s="60" t="str">
        <x:v>0xb434ead3aB89407715F1c6FfabC397588A71CE06</x:v>
      </x:c>
      <x:c r="D253" s="67" t="n">
        <x:v>666</x:v>
      </x:c>
      <x:c r="E253" s="67"/>
      <x:c r="F253" s="67"/>
      <x:c r="G253" s="67"/>
      <x:c r="H253" s="67"/>
      <x:c r="I253" s="67"/>
      <x:c r="J253" s="60"/>
      <x:c r="K253" s="60"/>
      <x:c r="L253" s="60"/>
      <x:c r="M253" s="60"/>
      <x:c r="N253" s="60"/>
      <x:c r="O253" s="60" t="str">
        <x:v>Snapshot only — live RPC pull not run in this workbook</x:v>
      </x:c>
      <x:c r="P253" s="60" t="str">
        <x:v>Atropa snapshot 2025-02-27 / atropa-tokens JSON</x:v>
      </x:c>
    </x:row>
    <x:row r="254">
      <x:c r="A254" s="60" t="str">
        <x:v>The Tigard Foundation</x:v>
      </x:c>
      <x:c r="B254" s="60" t="str">
        <x:v>AD</x:v>
      </x:c>
      <x:c r="C254" s="60" t="str">
        <x:v>0x7aBac9EbedAa90976ad112F1E57DDa2e73b80B8a</x:v>
      </x:c>
      <x:c r="D254" s="67" t="n">
        <x:v>0</x:v>
      </x:c>
      <x:c r="E254" s="67"/>
      <x:c r="F254" s="67"/>
      <x:c r="G254" s="67"/>
      <x:c r="H254" s="67"/>
      <x:c r="I254" s="67"/>
      <x:c r="J254" s="60"/>
      <x:c r="K254" s="60"/>
      <x:c r="L254" s="60"/>
      <x:c r="M254" s="60"/>
      <x:c r="N254" s="60"/>
      <x:c r="O254" s="60" t="str">
        <x:v>Snapshot only — live RPC pull not run in this workbook</x:v>
      </x:c>
      <x:c r="P254" s="60" t="str">
        <x:v>Atropa snapshot 2025-02-27 / atropa-tokens JSON</x:v>
      </x:c>
    </x:row>
    <x:row r="255">
      <x:c r="A255" s="60" t="str">
        <x:v>Make The Grade</x:v>
      </x:c>
      <x:c r="B255" s="60" t="str">
        <x:v>ÁSGARD</x:v>
      </x:c>
      <x:c r="C255" s="60" t="str">
        <x:v>0xf646eD2Fc7873C7c412Bffb07E2e8038f8EB7895</x:v>
      </x:c>
      <x:c r="D255" s="67" t="n">
        <x:v>5554</x:v>
      </x:c>
      <x:c r="E255" s="67"/>
      <x:c r="F255" s="67"/>
      <x:c r="G255" s="67"/>
      <x:c r="H255" s="67"/>
      <x:c r="I255" s="67"/>
      <x:c r="J255" s="60"/>
      <x:c r="K255" s="60"/>
      <x:c r="L255" s="60"/>
      <x:c r="M255" s="60"/>
      <x:c r="N255" s="60"/>
      <x:c r="O255" s="60" t="str">
        <x:v>Snapshot only — live RPC pull not run in this workbook</x:v>
      </x:c>
      <x:c r="P255" s="60" t="str">
        <x:v>Atropa snapshot 2025-02-27 / atropa-tokens JSON</x:v>
      </x:c>
    </x:row>
    <x:row r="256">
      <x:c r="A256" s="60" t="str">
        <x:v>Notice That Ol' En Banc Faggot OJ "The Federal Reserve Deficit" Simpson You Musta Quit Lookin For</x:v>
      </x:c>
      <x:c r="B256" s="60" t="str">
        <x:v>Durek Verrett</x:v>
      </x:c>
      <x:c r="C256" s="60" t="str">
        <x:v>0x7A3e33CE772ef28438Bcb4F564Dc300289cC63F4</x:v>
      </x:c>
      <x:c r="D256" s="67" t="n">
        <x:v>666</x:v>
      </x:c>
      <x:c r="E256" s="67"/>
      <x:c r="F256" s="67"/>
      <x:c r="G256" s="67"/>
      <x:c r="H256" s="67"/>
      <x:c r="I256" s="67"/>
      <x:c r="J256" s="60"/>
      <x:c r="K256" s="60"/>
      <x:c r="L256" s="60"/>
      <x:c r="M256" s="60"/>
      <x:c r="N256" s="60"/>
      <x:c r="O256" s="60" t="str">
        <x:v>Snapshot only — live RPC pull not run in this workbook</x:v>
      </x:c>
      <x:c r="P256" s="60" t="str">
        <x:v>Atropa snapshot 2025-02-27 / atropa-tokens JSON</x:v>
      </x:c>
    </x:row>
    <x:row r="257">
      <x:c r="A257" s="60" t="str">
        <x:v>Papa Curly Adebisi KRS One Lloyd Austin</x:v>
      </x:c>
      <x:c r="B257" s="60" t="str">
        <x:v>United States Secretary Of Defense™</x:v>
      </x:c>
      <x:c r="C257" s="60" t="str">
        <x:v>0x96EB28A11a1169CaeBfBBB1885dC1613ddB5f93d</x:v>
      </x:c>
      <x:c r="D257" s="67" t="n">
        <x:v>121212</x:v>
      </x:c>
      <x:c r="E257" s="67"/>
      <x:c r="F257" s="67"/>
      <x:c r="G257" s="67"/>
      <x:c r="H257" s="67"/>
      <x:c r="I257" s="67"/>
      <x:c r="J257" s="60"/>
      <x:c r="K257" s="60"/>
      <x:c r="L257" s="60"/>
      <x:c r="M257" s="60"/>
      <x:c r="N257" s="60"/>
      <x:c r="O257" s="60" t="str">
        <x:v>Snapshot only — live RPC pull not run in this workbook</x:v>
      </x:c>
      <x:c r="P257" s="60" t="str">
        <x:v>Atropa snapshot 2025-02-27 / atropa-tokens JSON</x:v>
      </x:c>
    </x:row>
    <x:row r="258">
      <x:c r="A258" s="60" t="str">
        <x:v>Michael Mann</x:v>
      </x:c>
      <x:c r="B258" s="60" t="str">
        <x:v>נתניהו™</x:v>
      </x:c>
      <x:c r="C258" s="60" t="str">
        <x:v>0xE9ce7430eC463B9CD9dDdb9543f6fD3100708875</x:v>
      </x:c>
      <x:c r="D258" s="67" t="n">
        <x:v>121212</x:v>
      </x:c>
      <x:c r="E258" s="67"/>
      <x:c r="F258" s="67"/>
      <x:c r="G258" s="67"/>
      <x:c r="H258" s="67"/>
      <x:c r="I258" s="67"/>
      <x:c r="J258" s="60"/>
      <x:c r="K258" s="60"/>
      <x:c r="L258" s="60"/>
      <x:c r="M258" s="60"/>
      <x:c r="N258" s="60"/>
      <x:c r="O258" s="60" t="str">
        <x:v>Snapshot only — live RPC pull not run in this workbook</x:v>
      </x:c>
      <x:c r="P258" s="60" t="str">
        <x:v>Atropa snapshot 2025-02-27 / atropa-tokens JSON</x:v>
      </x:c>
    </x:row>
    <x:row r="259">
      <x:c r="A259" s="60" t="str">
        <x:v>Robert Beck Redford</x:v>
      </x:c>
      <x:c r="B259" s="60" t="str">
        <x:v>Erdoğan™</x:v>
      </x:c>
      <x:c r="C259" s="60" t="str">
        <x:v>0x261BABfCB9FC4F37eF331b81E7930704955C5E11</x:v>
      </x:c>
      <x:c r="D259" s="67" t="n">
        <x:v>121212</x:v>
      </x:c>
      <x:c r="E259" s="67"/>
      <x:c r="F259" s="67"/>
      <x:c r="G259" s="67"/>
      <x:c r="H259" s="67"/>
      <x:c r="I259" s="67"/>
      <x:c r="J259" s="60"/>
      <x:c r="K259" s="60"/>
      <x:c r="L259" s="60"/>
      <x:c r="M259" s="60"/>
      <x:c r="N259" s="60"/>
      <x:c r="O259" s="60" t="str">
        <x:v>Snapshot only — live RPC pull not run in this workbook</x:v>
      </x:c>
      <x:c r="P259" s="60" t="str">
        <x:v>Atropa snapshot 2025-02-27 / atropa-tokens JSON</x:v>
      </x:c>
    </x:row>
    <x:row r="260">
      <x:c r="A260" s="60" t="str">
        <x:v>In The Know</x:v>
      </x:c>
      <x:c r="B260" s="60" t="str">
        <x:v>GBABY</x:v>
      </x:c>
      <x:c r="C260" s="60" t="str">
        <x:v>0x9DC72e4AD4d11841993F6c0a087F5B9fb458aA7C</x:v>
      </x:c>
      <x:c r="D260" s="67" t="n">
        <x:v>121212</x:v>
      </x:c>
      <x:c r="E260" s="67"/>
      <x:c r="F260" s="67"/>
      <x:c r="G260" s="67"/>
      <x:c r="H260" s="67"/>
      <x:c r="I260" s="67"/>
      <x:c r="J260" s="60"/>
      <x:c r="K260" s="60"/>
      <x:c r="L260" s="60"/>
      <x:c r="M260" s="60"/>
      <x:c r="N260" s="60"/>
      <x:c r="O260" s="60" t="str">
        <x:v>Snapshot only — live RPC pull not run in this workbook</x:v>
      </x:c>
      <x:c r="P260" s="60" t="str">
        <x:v>Atropa snapshot 2025-02-27 / atropa-tokens JSON</x:v>
      </x:c>
    </x:row>
    <x:row r="261">
      <x:c r="A261" s="60" t="str">
        <x:v>Dysnomia Genesis Rewards Token</x:v>
      </x:c>
      <x:c r="B261" s="60" t="str">
        <x:v>dGENESIS</x:v>
      </x:c>
      <x:c r="C261" s="60" t="str">
        <x:v>0xd2A048eF4e018348EEbC245a4402DB7b46c8E223</x:v>
      </x:c>
      <x:c r="D261" s="67" t="n">
        <x:v>999</x:v>
      </x:c>
      <x:c r="E261" s="67"/>
      <x:c r="F261" s="67"/>
      <x:c r="G261" s="67"/>
      <x:c r="H261" s="67"/>
      <x:c r="I261" s="67"/>
      <x:c r="J261" s="60"/>
      <x:c r="K261" s="60"/>
      <x:c r="L261" s="60"/>
      <x:c r="M261" s="60"/>
      <x:c r="N261" s="60"/>
      <x:c r="O261" s="60" t="str">
        <x:v>Snapshot only — live RPC pull not run in this workbook</x:v>
      </x:c>
      <x:c r="P261" s="60" t="str">
        <x:v>Atropa snapshot 2025-02-27 / atropa-tokens JSON</x:v>
      </x:c>
    </x:row>
    <x:row r="262">
      <x:c r="A262" s="60" t="str">
        <x:v>SuGaR pLUMz</x:v>
      </x:c>
      <x:c r="B262" s="60" t="str">
        <x:v>NINJATARD</x:v>
      </x:c>
      <x:c r="C262" s="60" t="str">
        <x:v>0x5A49433D997DE8af3e83d8c59d0a196680174d98</x:v>
      </x:c>
      <x:c r="D262" s="67" t="n">
        <x:v>5</x:v>
      </x:c>
      <x:c r="E262" s="67"/>
      <x:c r="F262" s="67"/>
      <x:c r="G262" s="67"/>
      <x:c r="H262" s="67"/>
      <x:c r="I262" s="67"/>
      <x:c r="J262" s="60"/>
      <x:c r="K262" s="60"/>
      <x:c r="L262" s="60"/>
      <x:c r="M262" s="60"/>
      <x:c r="N262" s="60"/>
      <x:c r="O262" s="60" t="str">
        <x:v>Snapshot only — live RPC pull not run in this workbook</x:v>
      </x:c>
      <x:c r="P262" s="60" t="str">
        <x:v>Atropa snapshot 2025-02-27 / atropa-tokens JSON</x:v>
      </x:c>
    </x:row>
    <x:row r="263">
      <x:c r="A263" s="60" t="str">
        <x:v>Cult of the Dead Cow</x:v>
      </x:c>
      <x:c r="B263" s="60" t="str">
        <x:v>cDc</x:v>
      </x:c>
      <x:c r="C263" s="60" t="str">
        <x:v>0x4Ec5F865F6996Ac424A1740ef97b8D1C862e0988</x:v>
      </x:c>
      <x:c r="D263" s="67" t="n">
        <x:v>35.0478183341884</x:v>
      </x:c>
      <x:c r="E263" s="67"/>
      <x:c r="F263" s="67"/>
      <x:c r="G263" s="67"/>
      <x:c r="H263" s="67"/>
      <x:c r="I263" s="67"/>
      <x:c r="J263" s="60"/>
      <x:c r="K263" s="60"/>
      <x:c r="L263" s="60"/>
      <x:c r="M263" s="60"/>
      <x:c r="N263" s="60"/>
      <x:c r="O263" s="60" t="str">
        <x:v>Snapshot only — live RPC pull not run in this workbook</x:v>
      </x:c>
      <x:c r="P263" s="60" t="str">
        <x:v>Atropa snapshot 2025-02-27 / atropa-tokens JSON</x:v>
      </x:c>
    </x:row>
    <x:row r="264">
      <x:c r="A264" s="60" t="str">
        <x:v>Ordo Templi Orientis</x:v>
      </x:c>
      <x:c r="B264" s="60" t="str">
        <x:v>O.T.O.</x:v>
      </x:c>
      <x:c r="C264" s="60" t="str">
        <x:v>0x67C13559F2eB56d8f8C088C4303d0c46583B4237</x:v>
      </x:c>
      <x:c r="D264" s="67" t="n">
        <x:v>156.58953530919018</x:v>
      </x:c>
      <x:c r="E264" s="67"/>
      <x:c r="F264" s="67"/>
      <x:c r="G264" s="67"/>
      <x:c r="H264" s="67"/>
      <x:c r="I264" s="67"/>
      <x:c r="J264" s="60"/>
      <x:c r="K264" s="60"/>
      <x:c r="L264" s="60"/>
      <x:c r="M264" s="60"/>
      <x:c r="N264" s="60"/>
      <x:c r="O264" s="60" t="str">
        <x:v>Snapshot only — live RPC pull not run in this workbook</x:v>
      </x:c>
      <x:c r="P264" s="60" t="str">
        <x:v>Atropa snapshot 2025-02-27 / atropa-tokens JSON</x:v>
      </x:c>
    </x:row>
    <x:row r="265">
      <x:c r="A265" s="60" t="str">
        <x:v>Order of the Temple of the East</x:v>
      </x:c>
      <x:c r="B265" s="60" t="str">
        <x:v>O.T.O.</x:v>
      </x:c>
      <x:c r="C265" s="60" t="str">
        <x:v>0x40E6d331E168815Ff1a546A3B0cCE71272e9F4Cd</x:v>
      </x:c>
      <x:c r="D265" s="67" t="n">
        <x:v>61.62439715880399</x:v>
      </x:c>
      <x:c r="E265" s="67"/>
      <x:c r="F265" s="67"/>
      <x:c r="G265" s="67"/>
      <x:c r="H265" s="67"/>
      <x:c r="I265" s="67"/>
      <x:c r="J265" s="60"/>
      <x:c r="K265" s="60"/>
      <x:c r="L265" s="60"/>
      <x:c r="M265" s="60"/>
      <x:c r="N265" s="60"/>
      <x:c r="O265" s="60" t="str">
        <x:v>Snapshot only — live RPC pull not run in this workbook</x:v>
      </x:c>
      <x:c r="P265" s="60" t="str">
        <x:v>Atropa snapshot 2025-02-27 / atropa-tokens JSON</x:v>
      </x:c>
    </x:row>
    <x:row r="266">
      <x:c r="A266" s="60" t="str">
        <x:v>Kate Blockbuster Middleton</x:v>
      </x:c>
      <x:c r="B266" s="60" t="str">
        <x:v>MISUNDERSTAND®</x:v>
      </x:c>
      <x:c r="C266" s="60" t="str">
        <x:v>0x1c86019cC2C591e7539b26D04351f4A97A7759F9</x:v>
      </x:c>
      <x:c r="D266" s="67" t="n">
        <x:v>66.6089430069821</x:v>
      </x:c>
      <x:c r="E266" s="67"/>
      <x:c r="F266" s="67"/>
      <x:c r="G266" s="67"/>
      <x:c r="H266" s="67"/>
      <x:c r="I266" s="67"/>
      <x:c r="J266" s="60"/>
      <x:c r="K266" s="60"/>
      <x:c r="L266" s="60"/>
      <x:c r="M266" s="60"/>
      <x:c r="N266" s="60"/>
      <x:c r="O266" s="60" t="str">
        <x:v>Snapshot only — live RPC pull not run in this workbook</x:v>
      </x:c>
      <x:c r="P266" s="60" t="str">
        <x:v>Atropa snapshot 2025-02-27 / atropa-tokens JSON</x:v>
      </x:c>
    </x:row>
    <x:row r="267">
      <x:c r="A267" s="60" t="str">
        <x:v>Ubu Roi</x:v>
      </x:c>
      <x:c r="B267" s="60" t="str">
        <x:v>UBWOBA</x:v>
      </x:c>
      <x:c r="C267" s="60" t="str">
        <x:v>0xe48205F93ae55D822f49D33dF06b5B26e9D5245D</x:v>
      </x:c>
      <x:c r="D267" s="67" t="n">
        <x:v>0.7352003807659568</x:v>
      </x:c>
      <x:c r="E267" s="67"/>
      <x:c r="F267" s="67"/>
      <x:c r="G267" s="67"/>
      <x:c r="H267" s="67"/>
      <x:c r="I267" s="67"/>
      <x:c r="J267" s="60"/>
      <x:c r="K267" s="60"/>
      <x:c r="L267" s="60"/>
      <x:c r="M267" s="60"/>
      <x:c r="N267" s="60"/>
      <x:c r="O267" s="60" t="str">
        <x:v>Snapshot only — live RPC pull not run in this workbook</x:v>
      </x:c>
      <x:c r="P267" s="60" t="str">
        <x:v>Atropa snapshot 2025-02-27 / atropa-tokens JSON</x:v>
      </x:c>
    </x:row>
    <x:row r="268">
      <x:c r="A268" s="60" t="str">
        <x:v>Cutting Crew</x:v>
      </x:c>
      <x:c r="B268" s="60" t="str">
        <x:v>CREW</x:v>
      </x:c>
      <x:c r="C268" s="60" t="str">
        <x:v>0xC38943d71233F1d36beAc4692aC37Bad41EF9284</x:v>
      </x:c>
      <x:c r="D268" s="67" t="n">
        <x:v>0.6885492509224245</x:v>
      </x:c>
      <x:c r="E268" s="67"/>
      <x:c r="F268" s="67"/>
      <x:c r="G268" s="67"/>
      <x:c r="H268" s="67"/>
      <x:c r="I268" s="67"/>
      <x:c r="J268" s="60"/>
      <x:c r="K268" s="60"/>
      <x:c r="L268" s="60"/>
      <x:c r="M268" s="60"/>
      <x:c r="N268" s="60"/>
      <x:c r="O268" s="60" t="str">
        <x:v>Snapshot only — live RPC pull not run in this workbook</x:v>
      </x:c>
      <x:c r="P268" s="60" t="str">
        <x:v>Atropa snapshot 2025-02-27 / atropa-tokens JSON</x:v>
      </x:c>
    </x:row>
    <x:row r="269">
      <x:c r="A269" s="60" t="str">
        <x:v>サイドティック</x:v>
      </x:c>
      <x:c r="B269" s="60" t="str">
        <x:v>クッィテドイサ</x:v>
      </x:c>
      <x:c r="C269" s="60" t="str">
        <x:v>0xbeF60dB7a8e370364D6D610cB1cdA91e76f7FbBC</x:v>
      </x:c>
      <x:c r="D269" s="67" t="n">
        <x:v>0.5820843679877096</x:v>
      </x:c>
      <x:c r="E269" s="67"/>
      <x:c r="F269" s="67"/>
      <x:c r="G269" s="67"/>
      <x:c r="H269" s="67"/>
      <x:c r="I269" s="67"/>
      <x:c r="J269" s="60"/>
      <x:c r="K269" s="60"/>
      <x:c r="L269" s="60"/>
      <x:c r="M269" s="60"/>
      <x:c r="N269" s="60"/>
      <x:c r="O269" s="60" t="str">
        <x:v>Snapshot only — live RPC pull not run in this workbook</x:v>
      </x:c>
      <x:c r="P269" s="60" t="str">
        <x:v>Atropa snapshot 2025-02-27 / atropa-tokens JSON</x:v>
      </x:c>
    </x:row>
    <x:row r="270">
      <x:c r="A270" s="60" t="str">
        <x:v>ماریا</x:v>
      </x:c>
      <x:c r="B270" s="60" t="str">
        <x:v>YAKUZA</x:v>
      </x:c>
      <x:c r="C270" s="60" t="str">
        <x:v>0xdDB009B0cAcfdDc032761F7B5BF525D543F7C002</x:v>
      </x:c>
      <x:c r="D270" s="67" t="n">
        <x:v>0.0000118359104846</x:v>
      </x:c>
      <x:c r="E270" s="67"/>
      <x:c r="F270" s="67"/>
      <x:c r="G270" s="67"/>
      <x:c r="H270" s="67"/>
      <x:c r="I270" s="67"/>
      <x:c r="J270" s="60"/>
      <x:c r="K270" s="60"/>
      <x:c r="L270" s="60"/>
      <x:c r="M270" s="60"/>
      <x:c r="N270" s="60"/>
      <x:c r="O270" s="60" t="str">
        <x:v>Snapshot only — live RPC pull not run in this workbook</x:v>
      </x:c>
      <x:c r="P270" s="60" t="str">
        <x:v>Atropa snapshot 2025-02-27 / atropa-tokens JSON</x:v>
      </x:c>
    </x:row>
    <x:row r="271">
      <x:c r="A271" s="60" t="str">
        <x:v>ماریا</x:v>
      </x:c>
      <x:c r="B271" s="60" t="str">
        <x:v>ヤクザ</x:v>
      </x:c>
      <x:c r="C271" s="60" t="str">
        <x:v>0x47d8a312E58798A2feC37cd0895AedA42E0155B0</x:v>
      </x:c>
      <x:c r="D271" s="67" t="n">
        <x:v>0.0012649364116672</x:v>
      </x:c>
      <x:c r="E271" s="67"/>
      <x:c r="F271" s="67"/>
      <x:c r="G271" s="67"/>
      <x:c r="H271" s="67"/>
      <x:c r="I271" s="67"/>
      <x:c r="J271" s="60"/>
      <x:c r="K271" s="60"/>
      <x:c r="L271" s="60"/>
      <x:c r="M271" s="60"/>
      <x:c r="N271" s="60"/>
      <x:c r="O271" s="60" t="str">
        <x:v>Snapshot only — live RPC pull not run in this workbook</x:v>
      </x:c>
      <x:c r="P271" s="60" t="str">
        <x:v>Atropa snapshot 2025-02-27 / atropa-tokens JSON</x:v>
      </x:c>
    </x:row>
    <x:row r="272">
      <x:c r="A272" s="60" t="str">
        <x:v>Cover Teh</x:v>
      </x:c>
      <x:c r="B272" s="60" t="str">
        <x:v>QUARTERMASTERS</x:v>
      </x:c>
      <x:c r="C272" s="60" t="str">
        <x:v>0xEa74629Cc0f1ed75c164119A9d1942FD5CF4C6D2</x:v>
      </x:c>
      <x:c r="D272" s="67" t="n">
        <x:v>0.0004673084083054</x:v>
      </x:c>
      <x:c r="E272" s="67"/>
      <x:c r="F272" s="67"/>
      <x:c r="G272" s="67"/>
      <x:c r="H272" s="67"/>
      <x:c r="I272" s="67"/>
      <x:c r="J272" s="60"/>
      <x:c r="K272" s="60"/>
      <x:c r="L272" s="60"/>
      <x:c r="M272" s="60"/>
      <x:c r="N272" s="60"/>
      <x:c r="O272" s="60" t="str">
        <x:v>Snapshot only — live RPC pull not run in this workbook</x:v>
      </x:c>
      <x:c r="P272" s="60" t="str">
        <x:v>Atropa snapshot 2025-02-27 / atropa-tokens JSON</x:v>
      </x:c>
    </x:row>
    <x:row r="273">
      <x:c r="A273" s="60" t="str">
        <x:v>Keep In Touch</x:v>
      </x:c>
      <x:c r="B273" s="60" t="str">
        <x:v>BANK OF BERMUDA</x:v>
      </x:c>
      <x:c r="C273" s="60" t="str">
        <x:v>0x47171ebE6DEAd933d09498bB92230851BdA53713</x:v>
      </x:c>
      <x:c r="D273" s="67" t="n">
        <x:v>0.0007455895976768</x:v>
      </x:c>
      <x:c r="E273" s="67"/>
      <x:c r="F273" s="67"/>
      <x:c r="G273" s="67"/>
      <x:c r="H273" s="67"/>
      <x:c r="I273" s="67"/>
      <x:c r="J273" s="60"/>
      <x:c r="K273" s="60"/>
      <x:c r="L273" s="60"/>
      <x:c r="M273" s="60"/>
      <x:c r="N273" s="60"/>
      <x:c r="O273" s="60" t="str">
        <x:v>Snapshot only — live RPC pull not run in this workbook</x:v>
      </x:c>
      <x:c r="P273" s="60" t="str">
        <x:v>Atropa snapshot 2025-02-27 / atropa-tokens JSON</x:v>
      </x:c>
    </x:row>
    <x:row r="274">
      <x:c r="A274" s="60" t="str">
        <x:v>Keys Of Ong</x:v>
      </x:c>
      <x:c r="B274" s="60" t="str">
        <x:v>ARCADIA</x:v>
      </x:c>
      <x:c r="C274" s="60" t="str">
        <x:v>0x9CCc2de565da893AB1300674F174545A3E568F93</x:v>
      </x:c>
      <x:c r="D274" s="67" t="n">
        <x:v>1</x:v>
      </x:c>
      <x:c r="E274" s="67"/>
      <x:c r="F274" s="67"/>
      <x:c r="G274" s="67"/>
      <x:c r="H274" s="67"/>
      <x:c r="I274" s="67"/>
      <x:c r="J274" s="60"/>
      <x:c r="K274" s="60"/>
      <x:c r="L274" s="60"/>
      <x:c r="M274" s="60"/>
      <x:c r="N274" s="60"/>
      <x:c r="O274" s="60" t="str">
        <x:v>Snapshot only — live RPC pull not run in this workbook</x:v>
      </x:c>
      <x:c r="P274" s="60" t="str">
        <x:v>Atropa snapshot 2025-02-27 / atropa-tokens JSON</x:v>
      </x:c>
    </x:row>
    <x:row r="275">
      <x:c r="A275" s="60" t="str">
        <x:v>Optimus Right</x:v>
      </x:c>
      <x:c r="B275" s="60" t="str">
        <x:v>ABJURATION</x:v>
      </x:c>
      <x:c r="C275" s="60" t="str">
        <x:v>0x8511970Af1823e79f26e5CB9ED2E7B2Bc7AA581B</x:v>
      </x:c>
      <x:c r="D275" s="67" t="n">
        <x:v>191</x:v>
      </x:c>
      <x:c r="E275" s="67"/>
      <x:c r="F275" s="67"/>
      <x:c r="G275" s="67"/>
      <x:c r="H275" s="67"/>
      <x:c r="I275" s="67"/>
      <x:c r="J275" s="60"/>
      <x:c r="K275" s="60"/>
      <x:c r="L275" s="60"/>
      <x:c r="M275" s="60"/>
      <x:c r="N275" s="60"/>
      <x:c r="O275" s="60" t="str">
        <x:v>Snapshot only — live RPC pull not run in this workbook</x:v>
      </x:c>
      <x:c r="P275" s="60" t="str">
        <x:v>Atropa snapshot 2025-02-27 / atropa-tokens JSON</x:v>
      </x:c>
    </x:row>
    <x:row r="276">
      <x:c r="A276" s="60" t="str">
        <x:v>Genesis P-Orridge Coin ㉾</x:v>
      </x:c>
      <x:c r="B276" s="60" t="str">
        <x:v>GNE㉾ESIS㉾</x:v>
      </x:c>
      <x:c r="C276" s="60" t="str">
        <x:v>0xc7eB14e178220E84530748a71b91F07c3545dE50</x:v>
      </x:c>
      <x:c r="D276" s="67" t="n">
        <x:v>229</x:v>
      </x:c>
      <x:c r="E276" s="67"/>
      <x:c r="F276" s="67"/>
      <x:c r="G276" s="67"/>
      <x:c r="H276" s="67"/>
      <x:c r="I276" s="67"/>
      <x:c r="J276" s="60"/>
      <x:c r="K276" s="60"/>
      <x:c r="L276" s="60"/>
      <x:c r="M276" s="60"/>
      <x:c r="N276" s="60"/>
      <x:c r="O276" s="60" t="str">
        <x:v>Snapshot only — live RPC pull not run in this workbook</x:v>
      </x:c>
      <x:c r="P276" s="60" t="str">
        <x:v>Atropa snapshot 2025-02-27 / atropa-tokens JSON</x:v>
      </x:c>
    </x:row>
    <x:row r="277">
      <x:c r="A277" s="60" t="str">
        <x:v>㈞</x:v>
      </x:c>
      <x:c r="B277" s="60" t="str">
        <x:v>㈞</x:v>
      </x:c>
      <x:c r="C277" s="60" t="str">
        <x:v>0x16951Ce6D1D1D67E9239192e3eaE4d250576d90c</x:v>
      </x:c>
      <x:c r="D277" s="67" t="n">
        <x:v>84255212</x:v>
      </x:c>
      <x:c r="E277" s="67"/>
      <x:c r="F277" s="67"/>
      <x:c r="G277" s="67"/>
      <x:c r="H277" s="67"/>
      <x:c r="I277" s="67"/>
      <x:c r="J277" s="60"/>
      <x:c r="K277" s="60"/>
      <x:c r="L277" s="60"/>
      <x:c r="M277" s="60"/>
      <x:c r="N277" s="60"/>
      <x:c r="O277" s="60" t="str">
        <x:v>Snapshot only — live RPC pull not run in this workbook</x:v>
      </x:c>
      <x:c r="P277" s="60" t="str">
        <x:v>Atropa snapshot 2025-02-27 / atropa-tokens JSON</x:v>
      </x:c>
    </x:row>
    <x:row r="278">
      <x:c r="A278" s="60" t="str">
        <x:v>Dissertation</x:v>
      </x:c>
      <x:c r="B278" s="60" t="str">
        <x:v>CU㉾NY㉾</x:v>
      </x:c>
      <x:c r="C278" s="60" t="str">
        <x:v>0x2dB160Ceea0f1b4cA0159fCF67FCcF8e549191Ff</x:v>
      </x:c>
      <x:c r="D278" s="67" t="n">
        <x:v>985930415</x:v>
      </x:c>
      <x:c r="E278" s="67"/>
      <x:c r="F278" s="67"/>
      <x:c r="G278" s="67"/>
      <x:c r="H278" s="67"/>
      <x:c r="I278" s="67"/>
      <x:c r="J278" s="60"/>
      <x:c r="K278" s="60"/>
      <x:c r="L278" s="60"/>
      <x:c r="M278" s="60"/>
      <x:c r="N278" s="60"/>
      <x:c r="O278" s="60" t="str">
        <x:v>Snapshot only — live RPC pull not run in this workbook</x:v>
      </x:c>
      <x:c r="P278" s="60" t="str">
        <x:v>Atropa snapshot 2025-02-27 / atropa-tokens JSON</x:v>
      </x:c>
    </x:row>
    <x:row r="279">
      <x:c r="A279" s="60" t="str">
        <x:v>Gold Standard</x:v>
      </x:c>
      <x:c r="B279" s="60" t="str">
        <x:v>僮㉾㉾</x:v>
      </x:c>
      <x:c r="C279" s="60" t="str">
        <x:v>0x69d4D6842D47838da249fB6fd685757E18908545</x:v>
      </x:c>
      <x:c r="D279" s="67" t="n">
        <x:v>879138</x:v>
      </x:c>
      <x:c r="E279" s="67"/>
      <x:c r="F279" s="67"/>
      <x:c r="G279" s="67"/>
      <x:c r="H279" s="67"/>
      <x:c r="I279" s="67"/>
      <x:c r="J279" s="60"/>
      <x:c r="K279" s="60"/>
      <x:c r="L279" s="60"/>
      <x:c r="M279" s="60"/>
      <x:c r="N279" s="60"/>
      <x:c r="O279" s="60" t="str">
        <x:v>Snapshot only — live RPC pull not run in this workbook</x:v>
      </x:c>
      <x:c r="P279" s="60" t="str">
        <x:v>Atropa snapshot 2025-02-27 / atropa-tokens JSON</x:v>
      </x:c>
    </x:row>
    <x:row r="280">
      <x:c r="A280" s="60" t="str">
        <x:v>H㉾X</x:v>
      </x:c>
      <x:c r="B280" s="60" t="str">
        <x:v>H㉾X</x:v>
      </x:c>
      <x:c r="C280" s="60" t="str">
        <x:v>0xF18B09A5B358b720F23D736163d328DBA0BdDf41</x:v>
      </x:c>
      <x:c r="D280" s="67" t="n">
        <x:v>111111</x:v>
      </x:c>
      <x:c r="E280" s="67"/>
      <x:c r="F280" s="67"/>
      <x:c r="G280" s="67"/>
      <x:c r="H280" s="67"/>
      <x:c r="I280" s="67"/>
      <x:c r="J280" s="60"/>
      <x:c r="K280" s="60"/>
      <x:c r="L280" s="60"/>
      <x:c r="M280" s="60"/>
      <x:c r="N280" s="60"/>
      <x:c r="O280" s="60" t="str">
        <x:v>Snapshot only — live RPC pull not run in this workbook</x:v>
      </x:c>
      <x:c r="P280" s="60" t="str">
        <x:v>Atropa snapshot 2025-02-27 / atropa-tokens JSON</x:v>
      </x:c>
    </x:row>
    <x:row r="281">
      <x:c r="A281" s="60" t="str">
        <x:v>Reserve Teh ㉾</x:v>
      </x:c>
      <x:c r="B281" s="60" t="str">
        <x:v>F㉾D</x:v>
      </x:c>
      <x:c r="C281" s="60" t="str">
        <x:v>0x1D177CB9EfEEa49A8B97ab1C72785a3A37ABc9Ff</x:v>
      </x:c>
      <x:c r="D281" s="67" t="n">
        <x:v>0</x:v>
      </x:c>
      <x:c r="E281" s="67"/>
      <x:c r="F281" s="67"/>
      <x:c r="G281" s="67"/>
      <x:c r="H281" s="67"/>
      <x:c r="I281" s="67"/>
      <x:c r="J281" s="60"/>
      <x:c r="K281" s="60"/>
      <x:c r="L281" s="60"/>
      <x:c r="M281" s="60"/>
      <x:c r="N281" s="60"/>
      <x:c r="O281" s="60" t="str">
        <x:v>Snapshot only — live RPC pull not run in this workbook</x:v>
      </x:c>
      <x:c r="P281" s="60" t="str">
        <x:v>Atropa snapshot 2025-02-27 / atropa-tokens JSON</x:v>
      </x:c>
    </x:row>
    <x:row r="282">
      <x:c r="A282" s="60" t="str">
        <x:v>㉾ مفتی ㉾</x:v>
      </x:c>
      <x:c r="B282" s="60" t="str">
        <x:v>M㉾FTi</x:v>
      </x:c>
      <x:c r="C282" s="60" t="str">
        <x:v>0x1a4E22af07f52A1E68C908ff077fef183A50EBe3</x:v>
      </x:c>
      <x:c r="D282" s="67" t="n">
        <x:v>1111111111</x:v>
      </x:c>
      <x:c r="E282" s="67"/>
      <x:c r="F282" s="67"/>
      <x:c r="G282" s="67"/>
      <x:c r="H282" s="67"/>
      <x:c r="I282" s="67"/>
      <x:c r="J282" s="60"/>
      <x:c r="K282" s="60"/>
      <x:c r="L282" s="60"/>
      <x:c r="M282" s="60"/>
      <x:c r="N282" s="60"/>
      <x:c r="O282" s="60" t="str">
        <x:v>Snapshot only — live RPC pull not run in this workbook</x:v>
      </x:c>
      <x:c r="P282" s="60" t="str">
        <x:v>Atropa snapshot 2025-02-27 / atropa-tokens JSON</x:v>
      </x:c>
    </x:row>
    <x:row r="283">
      <x:c r="A283" s="60" t="str">
        <x:v>㉾ تابور ㉾</x:v>
      </x:c>
      <x:c r="B283" s="60" t="str">
        <x:v>T㉾ABOʁ</x:v>
      </x:c>
      <x:c r="C283" s="60" t="str">
        <x:v>0xC26c78d6cb95e58228544462DD6e9a02868B1306</x:v>
      </x:c>
      <x:c r="D283" s="67" t="n">
        <x:v>111</x:v>
      </x:c>
      <x:c r="E283" s="67"/>
      <x:c r="F283" s="67"/>
      <x:c r="G283" s="67"/>
      <x:c r="H283" s="67"/>
      <x:c r="I283" s="67"/>
      <x:c r="J283" s="60"/>
      <x:c r="K283" s="60"/>
      <x:c r="L283" s="60"/>
      <x:c r="M283" s="60"/>
      <x:c r="N283" s="60"/>
      <x:c r="O283" s="60" t="str">
        <x:v>Snapshot only — live RPC pull not run in this workbook</x:v>
      </x:c>
      <x:c r="P283" s="60" t="str">
        <x:v>Atropa snapshot 2025-02-27 / atropa-tokens JSON</x:v>
      </x:c>
    </x:row>
    <x:row r="284">
      <x:c r="A284" s="60" t="str">
        <x:v>村山 富市</x:v>
      </x:c>
      <x:c r="B284" s="60" t="str">
        <x:v>GOSHEN</x:v>
      </x:c>
      <x:c r="C284" s="60" t="str">
        <x:v>0x1fF493D1eCa7041099f2ccA0adCAD5902E506162</x:v>
      </x:c>
      <x:c r="D284" s="67" t="n">
        <x:v>555</x:v>
      </x:c>
      <x:c r="E284" s="67"/>
      <x:c r="F284" s="67"/>
      <x:c r="G284" s="67"/>
      <x:c r="H284" s="67"/>
      <x:c r="I284" s="67"/>
      <x:c r="J284" s="60"/>
      <x:c r="K284" s="60"/>
      <x:c r="L284" s="60"/>
      <x:c r="M284" s="60"/>
      <x:c r="N284" s="60"/>
      <x:c r="O284" s="60" t="str">
        <x:v>Snapshot only — live RPC pull not run in this workbook</x:v>
      </x:c>
      <x:c r="P284" s="60" t="str">
        <x:v>Atropa snapshot 2025-02-27 / atropa-tokens JSON</x:v>
      </x:c>
    </x:row>
    <x:row r="285">
      <x:c r="A285" s="60" t="str">
        <x:v>ՁՅՈ ՒՆՓ ՈԹՈՐԿ ԻՏ ԱՂԱՆ ԴՆԵՐԻՇ ՈՈՒ</x:v>
      </x:c>
      <x:c r="B285" s="60" t="str">
        <x:v>MINISTRY</x:v>
      </x:c>
      <x:c r="C285" s="60" t="str">
        <x:v>0x9047fAd9598963B031172372196Bd307F048DdE3</x:v>
      </x:c>
      <x:c r="D285" s="67" t="n">
        <x:v>111</x:v>
      </x:c>
      <x:c r="E285" s="67"/>
      <x:c r="F285" s="67"/>
      <x:c r="G285" s="67"/>
      <x:c r="H285" s="67"/>
      <x:c r="I285" s="67"/>
      <x:c r="J285" s="60"/>
      <x:c r="K285" s="60"/>
      <x:c r="L285" s="60"/>
      <x:c r="M285" s="60"/>
      <x:c r="N285" s="60"/>
      <x:c r="O285" s="60" t="str">
        <x:v>Snapshot only — live RPC pull not run in this workbook</x:v>
      </x:c>
      <x:c r="P285" s="60" t="str">
        <x:v>Atropa snapshot 2025-02-27 / atropa-tokens JSON</x:v>
      </x:c>
    </x:row>
    <x:row r="286">
      <x:c r="A286" s="60" t="str">
        <x:v>㉾ տիսդիլլէրփս ալգհէմե ㉾</x:v>
      </x:c>
      <x:c r="B286" s="60" t="str">
        <x:v>abC^n*</x:v>
      </x:c>
      <x:c r="C286" s="60" t="str">
        <x:v>0x3E8A9D55Db391751A381D0C3822f727Ea81DbDda</x:v>
      </x:c>
      <x:c r="D286" s="67" t="n">
        <x:v>999</x:v>
      </x:c>
      <x:c r="E286" s="67"/>
      <x:c r="F286" s="67"/>
      <x:c r="G286" s="67"/>
      <x:c r="H286" s="67"/>
      <x:c r="I286" s="67"/>
      <x:c r="J286" s="60"/>
      <x:c r="K286" s="60"/>
      <x:c r="L286" s="60"/>
      <x:c r="M286" s="60"/>
      <x:c r="N286" s="60"/>
      <x:c r="O286" s="60" t="str">
        <x:v>Snapshot only — live RPC pull not run in this workbook</x:v>
      </x:c>
      <x:c r="P286" s="60" t="str">
        <x:v>Atropa snapshot 2025-02-27 / atropa-tokens JSON</x:v>
      </x:c>
    </x:row>
    <x:row r="287">
      <x:c r="A287" s="60" t="str">
        <x:v>㉾ իգէ և սնով ㉾</x:v>
      </x:c>
      <x:c r="B287" s="60" t="str">
        <x:v>ICE</x:v>
      </x:c>
      <x:c r="C287" s="60" t="str">
        <x:v>0x0EcC1089cd0635dE892D2937c5DAe3d437aF6B0c</x:v>
      </x:c>
      <x:c r="D287" s="67" t="n">
        <x:v>999</x:v>
      </x:c>
      <x:c r="E287" s="67"/>
      <x:c r="F287" s="67"/>
      <x:c r="G287" s="67"/>
      <x:c r="H287" s="67"/>
      <x:c r="I287" s="67"/>
      <x:c r="J287" s="60"/>
      <x:c r="K287" s="60"/>
      <x:c r="L287" s="60"/>
      <x:c r="M287" s="60"/>
      <x:c r="N287" s="60"/>
      <x:c r="O287" s="60" t="str">
        <x:v>Snapshot only — live RPC pull not run in this workbook</x:v>
      </x:c>
      <x:c r="P287" s="60" t="str">
        <x:v>Atropa snapshot 2025-02-27 / atropa-tokens JSON</x:v>
      </x:c>
    </x:row>
    <x:row r="288">
      <x:c r="A288" s="60" t="str">
        <x:v>㉾ ՈՖՖռՀԱՆՍ ㉾</x:v>
      </x:c>
      <x:c r="B288" s="60" t="str">
        <x:v>LUKE ㉾</x:v>
      </x:c>
      <x:c r="C288" s="60" t="str">
        <x:v>0xB493edFBa13CE0692F0C37B6A1CCBA6983D25E06</x:v>
      </x:c>
      <x:c r="D288" s="67" t="n">
        <x:v>666</x:v>
      </x:c>
      <x:c r="E288" s="67"/>
      <x:c r="F288" s="67"/>
      <x:c r="G288" s="67"/>
      <x:c r="H288" s="67"/>
      <x:c r="I288" s="67"/>
      <x:c r="J288" s="60"/>
      <x:c r="K288" s="60"/>
      <x:c r="L288" s="60"/>
      <x:c r="M288" s="60"/>
      <x:c r="N288" s="60"/>
      <x:c r="O288" s="60" t="str">
        <x:v>Snapshot only — live RPC pull not run in this workbook</x:v>
      </x:c>
      <x:c r="P288" s="60" t="str">
        <x:v>Atropa snapshot 2025-02-27 / atropa-tokens JSON</x:v>
      </x:c>
    </x:row>
    <x:row r="289">
      <x:c r="A289" s="60" t="str">
        <x:v>㉾ Ֆէտէրալ Ւիսա Բրոկրամ ㉾</x:v>
      </x:c>
      <x:c r="B289" s="60" t="str">
        <x:v>V㉾SA</x:v>
      </x:c>
      <x:c r="C289" s="60" t="str">
        <x:v>0xAefB058bd268bdb0764f66e810A57D29ff6438D6</x:v>
      </x:c>
      <x:c r="D289" s="67" t="n">
        <x:v>111111</x:v>
      </x:c>
      <x:c r="E289" s="67"/>
      <x:c r="F289" s="67"/>
      <x:c r="G289" s="67"/>
      <x:c r="H289" s="67"/>
      <x:c r="I289" s="67"/>
      <x:c r="J289" s="60"/>
      <x:c r="K289" s="60"/>
      <x:c r="L289" s="60"/>
      <x:c r="M289" s="60"/>
      <x:c r="N289" s="60"/>
      <x:c r="O289" s="60" t="str">
        <x:v>Snapshot only — live RPC pull not run in this workbook</x:v>
      </x:c>
      <x:c r="P289" s="60" t="str">
        <x:v>Atropa snapshot 2025-02-27 / atropa-tokens JSON</x:v>
      </x:c>
    </x:row>
    <x:row r="290">
      <x:c r="A290" s="60" t="str">
        <x:v>Keith Richards Coin</x:v>
      </x:c>
      <x:c r="B290" s="60" t="str">
        <x:v>MONBIOT</x:v>
      </x:c>
      <x:c r="C290" s="60" t="str">
        <x:v>0xeD52753272a291761a934b1398c14E0ffdAaEaa3</x:v>
      </x:c>
      <x:c r="D290" s="67" t="n">
        <x:v>812260748</x:v>
      </x:c>
      <x:c r="E290" s="67"/>
      <x:c r="F290" s="67"/>
      <x:c r="G290" s="67"/>
      <x:c r="H290" s="67"/>
      <x:c r="I290" s="67"/>
      <x:c r="J290" s="60"/>
      <x:c r="K290" s="60"/>
      <x:c r="L290" s="60"/>
      <x:c r="M290" s="60"/>
      <x:c r="N290" s="60"/>
      <x:c r="O290" s="60" t="str">
        <x:v>Snapshot only — live RPC pull not run in this workbook</x:v>
      </x:c>
      <x:c r="P290" s="60" t="str">
        <x:v>Atropa snapshot 2025-02-27 / atropa-tokens JSON</x:v>
      </x:c>
    </x:row>
    <x:row r="291">
      <x:c r="A291" s="60" t="str">
        <x:v>Mike Connell Coin</x:v>
      </x:c>
      <x:c r="B291" s="60" t="str">
        <x:v>2600 ㉾</x:v>
      </x:c>
      <x:c r="C291" s="60" t="str">
        <x:v>0x85498aBc21DA6e4455ed74211cAb5f55c0415D6F</x:v>
      </x:c>
      <x:c r="D291" s="67" t="n">
        <x:v>7475</x:v>
      </x:c>
      <x:c r="E291" s="67"/>
      <x:c r="F291" s="67"/>
      <x:c r="G291" s="67"/>
      <x:c r="H291" s="67"/>
      <x:c r="I291" s="67"/>
      <x:c r="J291" s="60"/>
      <x:c r="K291" s="60"/>
      <x:c r="L291" s="60"/>
      <x:c r="M291" s="60"/>
      <x:c r="N291" s="60"/>
      <x:c r="O291" s="60" t="str">
        <x:v>Snapshot only — live RPC pull not run in this workbook</x:v>
      </x:c>
      <x:c r="P291" s="60" t="str">
        <x:v>Atropa snapshot 2025-02-27 / atropa-tokens JSON</x:v>
      </x:c>
    </x:row>
    <x:row r="292">
      <x:c r="A292" s="60" t="str">
        <x:v>Most People Don't Know Voltaire, Niguh</x:v>
      </x:c>
      <x:c r="B292" s="60" t="str">
        <x:v>Voltaire ㉾</x:v>
      </x:c>
      <x:c r="C292" s="60" t="str">
        <x:v>0x7fBf264A9b3B6A28c21cfC93CA91f081ddB09949</x:v>
      </x:c>
      <x:c r="D292" s="67" t="n">
        <x:v>5555</x:v>
      </x:c>
      <x:c r="E292" s="67"/>
      <x:c r="F292" s="67"/>
      <x:c r="G292" s="67"/>
      <x:c r="H292" s="67"/>
      <x:c r="I292" s="67"/>
      <x:c r="J292" s="60"/>
      <x:c r="K292" s="60"/>
      <x:c r="L292" s="60"/>
      <x:c r="M292" s="60"/>
      <x:c r="N292" s="60"/>
      <x:c r="O292" s="60" t="str">
        <x:v>Snapshot only — live RPC pull not run in this workbook</x:v>
      </x:c>
      <x:c r="P292" s="60" t="str">
        <x:v>Atropa snapshot 2025-02-27 / atropa-tokens JSON</x:v>
      </x:c>
    </x:row>
    <x:row r="293">
      <x:c r="A293" s="60" t="str">
        <x:v>H༥X</x:v>
      </x:c>
      <x:c r="B293" s="60" t="str">
        <x:v>H༥X ㉾</x:v>
      </x:c>
      <x:c r="C293" s="60" t="str">
        <x:v>0xCec82DD6584a5d6fBed3B868BBFD76857F7060e3</x:v>
      </x:c>
      <x:c r="D293" s="67" t="n">
        <x:v>111111</x:v>
      </x:c>
      <x:c r="E293" s="67"/>
      <x:c r="F293" s="67"/>
      <x:c r="G293" s="67"/>
      <x:c r="H293" s="67"/>
      <x:c r="I293" s="67"/>
      <x:c r="J293" s="60"/>
      <x:c r="K293" s="60"/>
      <x:c r="L293" s="60"/>
      <x:c r="M293" s="60"/>
      <x:c r="N293" s="60"/>
      <x:c r="O293" s="60" t="str">
        <x:v>Snapshot only — live RPC pull not run in this workbook</x:v>
      </x:c>
      <x:c r="P293" s="60" t="str">
        <x:v>Atropa snapshot 2025-02-27 / atropa-tokens JSON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73" t="str">
        <x:v>Atropa Live Pull Integration</x:v>
      </x:c>
      <x:c r="B1" s="60"/>
    </x:row>
    <x:row r="2">
      <x:c r="A2" s="72" t="str">
        <x:v>Workbook generated (UTC)</x:v>
      </x:c>
      <x:c r="B2" t="str">
        <x:v>2026-07-15 00:54:14</x:v>
      </x:c>
    </x:row>
    <x:row r="3">
      <x:c r="A3" s="72" t="str">
        <x:v>Current state</x:v>
      </x:c>
      <x:c r="B3" t="str">
        <x:v>Live-pull-ready; existing February 27, 2025 snapshot preserved</x:v>
      </x:c>
    </x:row>
    <x:row r="4">
      <x:c r="A4" s="72" t="str">
        <x:v>Why live cells are blank</x:v>
      </x:c>
      <x:c r="B4" t="str">
        <x:v>The execution environment could not resolve the PulseChain RPC hosts, so no fresh on-chain values were claimed.</x:v>
      </x:c>
    </x:row>
    <x:row r="5">
      <x:c r="A5" s="72" t="str">
        <x:v>GitHub script path</x:v>
      </x:c>
      <x:c r="B5" t="str">
        <x:v>scripts/atropa-live-pull.mjs</x:v>
      </x:c>
    </x:row>
    <x:row r="6">
      <x:c r="A6" s="72" t="str">
        <x:v>Token catalogue path</x:v>
      </x:c>
      <x:c r="B6" t="str">
        <x:v>data/atropa-tokens.json</x:v>
      </x:c>
    </x:row>
    <x:row r="7">
      <x:c r="A7" s="72" t="str">
        <x:v>Workflow path</x:v>
      </x:c>
      <x:c r="B7" t="str">
        <x:v>.github/workflows/atropa-pull.yml</x:v>
      </x:c>
    </x:row>
    <x:row r="8">
      <x:c r="A8" s="72" t="str">
        <x:v>Workflow outputs</x:v>
      </x:c>
      <x:c r="B8" t="str">
        <x:v>data/atropa-live.json and data/atropa-summary.md</x:v>
      </x:c>
    </x:row>
    <x:row r="9">
      <x:c r="A9" s="72" t="str">
        <x:v>Update method</x:v>
      </x:c>
      <x:c r="B9" t="str">
        <x:v>Run the Atropa Live Pull workflow in GitHub, then map atropa-live.json into LIVE_PULL and ECOSYSTEM AA:AF.</x:v>
      </x:c>
    </x:row>
    <x:row r="10">
      <x:c r="A10" s="72" t="str">
        <x:v>Read-only safety</x:v>
      </x:c>
      <x:c r="B10" t="str">
        <x:v>The supplied script uses eth_call and public market APIs only; it contains no signer, transaction, approval, or private-key logic.</x:v>
      </x:c>
    </x:row>
    <x:row r="11">
      <x:c r="A11" s="72" t="str">
        <x:v>Mapped fields</x:v>
      </x:c>
      <x:c r="B11" t="str">
        <x:v>Current supply, USD price, market cap/FDV, volume, liquidity, registry count, registered pairs, deepest pair, and errors</x:v>
      </x:c>
    </x:row>
    <x:row r="12">
      <x:c r="A12" s="72" t="str">
        <x:v>Not inferred</x:v>
      </x:c>
      <x:c r="B12" t="str">
        <x:v>Circulating supply, minted supply, burned supply, last mint, and last burn remain unchanged unless independently verified.</x:v>
      </x:c>
    </x:row>
    <x:row r="13">
      <x:c r="A13" s="72"/>
    </x:row>
    <x:row r="14">
      <x:c r="A14" s="72"/>
    </x:row>
    <x:row r="15">
      <x:c r="A15" s="72"/>
    </x:row>
    <x:row r="16">
      <x:c r="A16" s="72"/>
    </x:row>
    <x:row r="17">
      <x:c r="A17" s="72"/>
    </x:row>
    <x:row r="18">
      <x:c r="A18" s="72"/>
    </x:row>
    <x:row r="19">
      <x:c r="A19" s="72"/>
    </x:row>
    <x:row r="20">
      <x:c r="A20" s="72"/>
    </x:row>
  </x:sheetData>
  <x:mergeCells>
    <x:mergeCell ref="A1:B1"/>
  </x:mergeCells>
  <x:pageMargins left="0.7" right="0.7" top="0.75" bottom="0.75" header="0.3" footer="0.3"/>
</x:worksheet>
</file>